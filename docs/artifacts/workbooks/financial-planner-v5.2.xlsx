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dtherobot/Documents/GitHub/Career-Plan-app/docs/artifacts/workbooks/"/>
    </mc:Choice>
  </mc:AlternateContent>
  <xr:revisionPtr revIDLastSave="0" documentId="13_ncr:1_{4EC57B2E-822E-9A40-B129-0C3089ED708C}" xr6:coauthVersionLast="47" xr6:coauthVersionMax="47" xr10:uidLastSave="{00000000-0000-0000-0000-000000000000}"/>
  <bookViews>
    <workbookView xWindow="37400" yWindow="-28800" windowWidth="27540" windowHeight="28800" tabRatio="500" xr2:uid="{00000000-000D-0000-FFFF-FFFF00000000}"/>
  </bookViews>
  <sheets>
    <sheet name="ASSUMPTIONS" sheetId="1" r:id="rId1"/>
    <sheet name="CAREER_DATA" sheetId="2" r:id="rId2"/>
    <sheet name="SCHOOL_DATA" sheetId="3" r:id="rId3"/>
    <sheet name="PROJECTIONS" sheetId="4" r:id="rId4"/>
    <sheet name="CHARTS" sheetId="5" r:id="rId5"/>
    <sheet name="GOALS" sheetId="6" r:id="rId6"/>
    <sheet name="INCOME" sheetId="7" r:id="rId7"/>
    <sheet name="EXPENSES" sheetId="8" r:id="rId8"/>
    <sheet name="DEBT" sheetId="9" r:id="rId9"/>
    <sheet name="ASSETS" sheetId="10" r:id="rId10"/>
    <sheet name="SUMMARY AND ACTION PLAN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0" l="1"/>
  <c r="B34" i="10"/>
  <c r="B23" i="9"/>
  <c r="F21" i="9"/>
  <c r="C21" i="9"/>
  <c r="B21" i="9"/>
  <c r="F10" i="9"/>
  <c r="C10" i="9"/>
  <c r="B10" i="9"/>
  <c r="B154" i="8"/>
  <c r="B153" i="8"/>
  <c r="B152" i="8"/>
  <c r="D149" i="8"/>
  <c r="C149" i="8"/>
  <c r="B149" i="8"/>
  <c r="D148" i="8"/>
  <c r="C148" i="8"/>
  <c r="B148" i="8"/>
  <c r="D147" i="8"/>
  <c r="C147" i="8"/>
  <c r="B147" i="8"/>
  <c r="D146" i="8"/>
  <c r="C146" i="8"/>
  <c r="B146" i="8"/>
  <c r="C141" i="8"/>
  <c r="D126" i="8"/>
  <c r="D8" i="11" s="1"/>
  <c r="D120" i="8"/>
  <c r="C120" i="8"/>
  <c r="B120" i="8"/>
  <c r="D115" i="8"/>
  <c r="C115" i="8"/>
  <c r="B115" i="8"/>
  <c r="D109" i="8"/>
  <c r="C109" i="8"/>
  <c r="B109" i="8"/>
  <c r="D93" i="8"/>
  <c r="C93" i="8"/>
  <c r="B93" i="8"/>
  <c r="D86" i="8"/>
  <c r="C86" i="8"/>
  <c r="B86" i="8"/>
  <c r="D76" i="8"/>
  <c r="C76" i="8"/>
  <c r="B76" i="8"/>
  <c r="D69" i="8"/>
  <c r="C69" i="8"/>
  <c r="B69" i="8"/>
  <c r="D61" i="8"/>
  <c r="C61" i="8"/>
  <c r="B61" i="8"/>
  <c r="D55" i="8"/>
  <c r="C55" i="8"/>
  <c r="B55" i="8"/>
  <c r="D47" i="8"/>
  <c r="C47" i="8"/>
  <c r="B47" i="8"/>
  <c r="D38" i="8"/>
  <c r="C38" i="8"/>
  <c r="B38" i="8"/>
  <c r="D30" i="8"/>
  <c r="C30" i="8"/>
  <c r="B30" i="8"/>
  <c r="D21" i="8"/>
  <c r="C21" i="8"/>
  <c r="B21" i="8"/>
  <c r="D13" i="8"/>
  <c r="C13" i="8"/>
  <c r="B13" i="8"/>
  <c r="D5" i="8"/>
  <c r="C5" i="8"/>
  <c r="C126" i="8" s="1"/>
  <c r="C8" i="11" s="1"/>
  <c r="B5" i="8"/>
  <c r="B126" i="8" s="1"/>
  <c r="D3" i="8"/>
  <c r="C3" i="8"/>
  <c r="B3" i="8"/>
  <c r="B124" i="7"/>
  <c r="B123" i="7"/>
  <c r="B122" i="7"/>
  <c r="D119" i="7"/>
  <c r="C119" i="7"/>
  <c r="B119" i="7"/>
  <c r="D118" i="7"/>
  <c r="C118" i="7"/>
  <c r="B118" i="7"/>
  <c r="D117" i="7"/>
  <c r="C117" i="7"/>
  <c r="B117" i="7"/>
  <c r="D116" i="7"/>
  <c r="C116" i="7"/>
  <c r="B116" i="7"/>
  <c r="D113" i="7"/>
  <c r="C113" i="7"/>
  <c r="B113" i="7"/>
  <c r="D112" i="7"/>
  <c r="C112" i="7"/>
  <c r="B112" i="7"/>
  <c r="D111" i="7"/>
  <c r="C111" i="7"/>
  <c r="B111" i="7"/>
  <c r="C106" i="7"/>
  <c r="D97" i="7"/>
  <c r="C97" i="7"/>
  <c r="B97" i="7"/>
  <c r="D92" i="7"/>
  <c r="C92" i="7"/>
  <c r="B92" i="7"/>
  <c r="D90" i="7"/>
  <c r="C90" i="7"/>
  <c r="B90" i="7"/>
  <c r="D70" i="7"/>
  <c r="C70" i="7"/>
  <c r="B70" i="7"/>
  <c r="C47" i="7"/>
  <c r="C99" i="7" s="1"/>
  <c r="C102" i="7" s="1"/>
  <c r="D45" i="7"/>
  <c r="D98" i="7" s="1"/>
  <c r="C45" i="7"/>
  <c r="C98" i="7" s="1"/>
  <c r="B45" i="7"/>
  <c r="D24" i="7"/>
  <c r="C24" i="7"/>
  <c r="B24" i="7"/>
  <c r="A92" i="4"/>
  <c r="J80" i="4"/>
  <c r="F80" i="4"/>
  <c r="B80" i="4"/>
  <c r="J74" i="4"/>
  <c r="F74" i="4"/>
  <c r="B74" i="4"/>
  <c r="E70" i="4"/>
  <c r="AD57" i="4"/>
  <c r="AA57" i="4"/>
  <c r="Y57" i="4"/>
  <c r="W57" i="4"/>
  <c r="U57" i="4"/>
  <c r="R57" i="4"/>
  <c r="P57" i="4"/>
  <c r="N57" i="4"/>
  <c r="I57" i="4"/>
  <c r="G57" i="4"/>
  <c r="E57" i="4"/>
  <c r="AB55" i="4"/>
  <c r="Z55" i="4"/>
  <c r="S55" i="4"/>
  <c r="Q55" i="4"/>
  <c r="J55" i="4"/>
  <c r="H55" i="4"/>
  <c r="AB54" i="4"/>
  <c r="Z54" i="4"/>
  <c r="S54" i="4"/>
  <c r="Q54" i="4"/>
  <c r="J54" i="4"/>
  <c r="H54" i="4"/>
  <c r="AB53" i="4"/>
  <c r="Z53" i="4"/>
  <c r="S53" i="4"/>
  <c r="Q53" i="4"/>
  <c r="J53" i="4"/>
  <c r="H53" i="4"/>
  <c r="AB52" i="4"/>
  <c r="Z52" i="4"/>
  <c r="S52" i="4"/>
  <c r="Q52" i="4"/>
  <c r="J52" i="4"/>
  <c r="H52" i="4"/>
  <c r="AB51" i="4"/>
  <c r="Z51" i="4"/>
  <c r="S51" i="4"/>
  <c r="Q51" i="4"/>
  <c r="J51" i="4"/>
  <c r="H51" i="4"/>
  <c r="AB50" i="4"/>
  <c r="Z50" i="4"/>
  <c r="S50" i="4"/>
  <c r="Q50" i="4"/>
  <c r="J50" i="4"/>
  <c r="H50" i="4"/>
  <c r="AB49" i="4"/>
  <c r="Z49" i="4"/>
  <c r="S49" i="4"/>
  <c r="Q49" i="4"/>
  <c r="J49" i="4"/>
  <c r="H49" i="4"/>
  <c r="AB48" i="4"/>
  <c r="Z48" i="4"/>
  <c r="S48" i="4"/>
  <c r="Q48" i="4"/>
  <c r="J48" i="4"/>
  <c r="H48" i="4"/>
  <c r="AB47" i="4"/>
  <c r="Z47" i="4"/>
  <c r="S47" i="4"/>
  <c r="Q47" i="4"/>
  <c r="J47" i="4"/>
  <c r="H47" i="4"/>
  <c r="AB46" i="4"/>
  <c r="Z46" i="4"/>
  <c r="S46" i="4"/>
  <c r="Q46" i="4"/>
  <c r="J46" i="4"/>
  <c r="H46" i="4"/>
  <c r="AB45" i="4"/>
  <c r="Z45" i="4"/>
  <c r="S45" i="4"/>
  <c r="Q45" i="4"/>
  <c r="J45" i="4"/>
  <c r="H45" i="4"/>
  <c r="AB44" i="4"/>
  <c r="Z44" i="4"/>
  <c r="S44" i="4"/>
  <c r="Q44" i="4"/>
  <c r="J44" i="4"/>
  <c r="H44" i="4"/>
  <c r="AB43" i="4"/>
  <c r="Z43" i="4"/>
  <c r="S43" i="4"/>
  <c r="Q43" i="4"/>
  <c r="J43" i="4"/>
  <c r="H43" i="4"/>
  <c r="AB42" i="4"/>
  <c r="Z42" i="4"/>
  <c r="S42" i="4"/>
  <c r="Q42" i="4"/>
  <c r="J42" i="4"/>
  <c r="H42" i="4"/>
  <c r="AB41" i="4"/>
  <c r="Z41" i="4"/>
  <c r="S41" i="4"/>
  <c r="Q41" i="4"/>
  <c r="J41" i="4"/>
  <c r="H41" i="4"/>
  <c r="AB40" i="4"/>
  <c r="Z40" i="4"/>
  <c r="S40" i="4"/>
  <c r="Q40" i="4"/>
  <c r="J40" i="4"/>
  <c r="H40" i="4"/>
  <c r="AB39" i="4"/>
  <c r="Z39" i="4"/>
  <c r="S39" i="4"/>
  <c r="Q39" i="4"/>
  <c r="J39" i="4"/>
  <c r="I39" i="4"/>
  <c r="H39" i="4"/>
  <c r="AB38" i="4"/>
  <c r="Z38" i="4"/>
  <c r="S38" i="4"/>
  <c r="Q38" i="4"/>
  <c r="O38" i="4"/>
  <c r="J38" i="4"/>
  <c r="H38" i="4"/>
  <c r="AB37" i="4"/>
  <c r="Z37" i="4"/>
  <c r="S37" i="4"/>
  <c r="Q37" i="4"/>
  <c r="J37" i="4"/>
  <c r="H37" i="4"/>
  <c r="AB36" i="4"/>
  <c r="Z36" i="4"/>
  <c r="S36" i="4"/>
  <c r="Q36" i="4"/>
  <c r="J36" i="4"/>
  <c r="H36" i="4"/>
  <c r="AB35" i="4"/>
  <c r="AA35" i="4"/>
  <c r="Z35" i="4"/>
  <c r="S35" i="4"/>
  <c r="Q35" i="4"/>
  <c r="J35" i="4"/>
  <c r="H35" i="4"/>
  <c r="AB34" i="4"/>
  <c r="Z34" i="4"/>
  <c r="S34" i="4"/>
  <c r="R34" i="4"/>
  <c r="Q34" i="4"/>
  <c r="J34" i="4"/>
  <c r="H34" i="4"/>
  <c r="AB33" i="4"/>
  <c r="Z33" i="4"/>
  <c r="S33" i="4"/>
  <c r="Q33" i="4"/>
  <c r="O33" i="4"/>
  <c r="J33" i="4"/>
  <c r="H33" i="4"/>
  <c r="AB32" i="4"/>
  <c r="Z32" i="4"/>
  <c r="S32" i="4"/>
  <c r="Q32" i="4"/>
  <c r="J32" i="4"/>
  <c r="H32" i="4"/>
  <c r="AB31" i="4"/>
  <c r="Z31" i="4"/>
  <c r="S31" i="4"/>
  <c r="R31" i="4"/>
  <c r="Q31" i="4"/>
  <c r="J31" i="4"/>
  <c r="H31" i="4"/>
  <c r="AB30" i="4"/>
  <c r="Z30" i="4"/>
  <c r="S30" i="4"/>
  <c r="Q30" i="4"/>
  <c r="J30" i="4"/>
  <c r="H30" i="4"/>
  <c r="F30" i="4"/>
  <c r="AB29" i="4"/>
  <c r="Z29" i="4"/>
  <c r="S29" i="4"/>
  <c r="R29" i="4"/>
  <c r="Q29" i="4"/>
  <c r="J29" i="4"/>
  <c r="I29" i="4"/>
  <c r="H29" i="4"/>
  <c r="F29" i="4"/>
  <c r="AB28" i="4"/>
  <c r="Z28" i="4"/>
  <c r="S28" i="4"/>
  <c r="Q28" i="4"/>
  <c r="O28" i="4"/>
  <c r="J28" i="4"/>
  <c r="I28" i="4"/>
  <c r="H28" i="4"/>
  <c r="AB27" i="4"/>
  <c r="Z27" i="4"/>
  <c r="S27" i="4"/>
  <c r="Q27" i="4"/>
  <c r="J27" i="4"/>
  <c r="H27" i="4"/>
  <c r="AB26" i="4"/>
  <c r="Z26" i="4"/>
  <c r="S26" i="4"/>
  <c r="Q26" i="4"/>
  <c r="J26" i="4"/>
  <c r="H26" i="4"/>
  <c r="AB25" i="4"/>
  <c r="Z25" i="4"/>
  <c r="S25" i="4"/>
  <c r="Q25" i="4"/>
  <c r="O25" i="4"/>
  <c r="J25" i="4"/>
  <c r="H25" i="4"/>
  <c r="F25" i="4"/>
  <c r="AB24" i="4"/>
  <c r="Z24" i="4"/>
  <c r="S24" i="4"/>
  <c r="Q24" i="4"/>
  <c r="J24" i="4"/>
  <c r="H24" i="4"/>
  <c r="F24" i="4"/>
  <c r="AB23" i="4"/>
  <c r="AA23" i="4"/>
  <c r="Z23" i="4"/>
  <c r="S23" i="4"/>
  <c r="Q23" i="4"/>
  <c r="N23" i="4"/>
  <c r="J23" i="4"/>
  <c r="I23" i="4"/>
  <c r="H23" i="4"/>
  <c r="AB22" i="4"/>
  <c r="AA22" i="4"/>
  <c r="Z22" i="4"/>
  <c r="S22" i="4"/>
  <c r="Q22" i="4"/>
  <c r="N22" i="4"/>
  <c r="J22" i="4"/>
  <c r="I22" i="4"/>
  <c r="H22" i="4"/>
  <c r="AB21" i="4"/>
  <c r="Z21" i="4"/>
  <c r="S21" i="4"/>
  <c r="Q21" i="4"/>
  <c r="O21" i="4"/>
  <c r="J21" i="4"/>
  <c r="H21" i="4"/>
  <c r="F21" i="4"/>
  <c r="AB20" i="4"/>
  <c r="Z20" i="4"/>
  <c r="S20" i="4"/>
  <c r="Q20" i="4"/>
  <c r="O20" i="4"/>
  <c r="J20" i="4"/>
  <c r="H20" i="4"/>
  <c r="F20" i="4"/>
  <c r="AB19" i="4"/>
  <c r="Z19" i="4"/>
  <c r="S19" i="4"/>
  <c r="Q19" i="4"/>
  <c r="N19" i="4"/>
  <c r="J19" i="4"/>
  <c r="H19" i="4"/>
  <c r="AB18" i="4"/>
  <c r="Z18" i="4"/>
  <c r="S18" i="4"/>
  <c r="Q18" i="4"/>
  <c r="O18" i="4"/>
  <c r="J18" i="4"/>
  <c r="H18" i="4"/>
  <c r="AB17" i="4"/>
  <c r="Z17" i="4"/>
  <c r="S17" i="4"/>
  <c r="R17" i="4"/>
  <c r="Q17" i="4"/>
  <c r="J17" i="4"/>
  <c r="H17" i="4"/>
  <c r="F17" i="4"/>
  <c r="AB16" i="4"/>
  <c r="Z16" i="4"/>
  <c r="S16" i="4"/>
  <c r="R16" i="4"/>
  <c r="Q16" i="4"/>
  <c r="O16" i="4"/>
  <c r="J16" i="4"/>
  <c r="H16" i="4"/>
  <c r="AB15" i="4"/>
  <c r="Z15" i="4"/>
  <c r="S15" i="4"/>
  <c r="Q15" i="4"/>
  <c r="J15" i="4"/>
  <c r="H15" i="4"/>
  <c r="AB14" i="4"/>
  <c r="Z14" i="4"/>
  <c r="S14" i="4"/>
  <c r="Q14" i="4"/>
  <c r="O14" i="4"/>
  <c r="J14" i="4"/>
  <c r="H14" i="4"/>
  <c r="AB13" i="4"/>
  <c r="Z13" i="4"/>
  <c r="S13" i="4"/>
  <c r="Q13" i="4"/>
  <c r="O13" i="4"/>
  <c r="N13" i="4"/>
  <c r="J13" i="4"/>
  <c r="H13" i="4"/>
  <c r="AB12" i="4"/>
  <c r="S12" i="4"/>
  <c r="R12" i="4"/>
  <c r="Q12" i="4"/>
  <c r="J12" i="4"/>
  <c r="E12" i="4"/>
  <c r="AB11" i="4"/>
  <c r="S11" i="4"/>
  <c r="Q11" i="4"/>
  <c r="J11" i="4"/>
  <c r="E11" i="4"/>
  <c r="AB10" i="4"/>
  <c r="S10" i="4"/>
  <c r="R10" i="4"/>
  <c r="Q10" i="4"/>
  <c r="O10" i="4"/>
  <c r="J10" i="4"/>
  <c r="AB9" i="4"/>
  <c r="Y9" i="4"/>
  <c r="S9" i="4"/>
  <c r="R9" i="4"/>
  <c r="Q9" i="4"/>
  <c r="J9" i="4"/>
  <c r="AB8" i="4"/>
  <c r="W8" i="4"/>
  <c r="Y8" i="4" s="1"/>
  <c r="S8" i="4"/>
  <c r="R8" i="4"/>
  <c r="Q8" i="4"/>
  <c r="O8" i="4"/>
  <c r="J8" i="4"/>
  <c r="I8" i="4"/>
  <c r="AB7" i="4"/>
  <c r="Z7" i="4"/>
  <c r="S7" i="4"/>
  <c r="R7" i="4"/>
  <c r="Q7" i="4"/>
  <c r="J7" i="4"/>
  <c r="AB6" i="4"/>
  <c r="W6" i="4"/>
  <c r="S6" i="4"/>
  <c r="O6" i="4"/>
  <c r="P6" i="4" s="1"/>
  <c r="N6" i="4"/>
  <c r="J6" i="4"/>
  <c r="AB5" i="4"/>
  <c r="J83" i="4" s="1"/>
  <c r="X5" i="4"/>
  <c r="Y5" i="4" s="1"/>
  <c r="W5" i="4"/>
  <c r="S5" i="4"/>
  <c r="F83" i="4" s="1"/>
  <c r="O5" i="4"/>
  <c r="N5" i="4"/>
  <c r="J5" i="4"/>
  <c r="B83" i="4" s="1"/>
  <c r="I5" i="4"/>
  <c r="B81" i="4" s="1"/>
  <c r="E5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34" i="2"/>
  <c r="C33" i="2"/>
  <c r="C32" i="2"/>
  <c r="C31" i="2"/>
  <c r="C30" i="2"/>
  <c r="C29" i="2"/>
  <c r="C28" i="2"/>
  <c r="C27" i="2"/>
  <c r="C26" i="2"/>
  <c r="C25" i="2"/>
  <c r="C24" i="2"/>
  <c r="H20" i="2"/>
  <c r="H19" i="2"/>
  <c r="H18" i="2"/>
  <c r="H17" i="2"/>
  <c r="H16" i="2"/>
  <c r="H15" i="2"/>
  <c r="H14" i="2"/>
  <c r="B85" i="1" s="1"/>
  <c r="D110" i="1" s="1"/>
  <c r="H10" i="2"/>
  <c r="H9" i="2"/>
  <c r="H8" i="2"/>
  <c r="H7" i="2"/>
  <c r="H6" i="2"/>
  <c r="H5" i="2"/>
  <c r="C78" i="1" s="1"/>
  <c r="C110" i="1" s="1"/>
  <c r="C109" i="1"/>
  <c r="B109" i="1"/>
  <c r="D108" i="1"/>
  <c r="C108" i="1"/>
  <c r="B108" i="1"/>
  <c r="C107" i="1"/>
  <c r="C104" i="1"/>
  <c r="B100" i="1"/>
  <c r="B99" i="1"/>
  <c r="B98" i="1"/>
  <c r="B97" i="1"/>
  <c r="D107" i="1" s="1"/>
  <c r="B96" i="1"/>
  <c r="B90" i="1"/>
  <c r="B84" i="1"/>
  <c r="B83" i="1"/>
  <c r="B105" i="1" s="1"/>
  <c r="C79" i="1"/>
  <c r="C77" i="1"/>
  <c r="C76" i="1"/>
  <c r="C70" i="1"/>
  <c r="B70" i="1"/>
  <c r="D57" i="1"/>
  <c r="D58" i="1" s="1"/>
  <c r="C57" i="1"/>
  <c r="B57" i="1"/>
  <c r="D56" i="1"/>
  <c r="C56" i="1"/>
  <c r="B56" i="1"/>
  <c r="D55" i="1"/>
  <c r="C55" i="1"/>
  <c r="B55" i="1"/>
  <c r="D54" i="1"/>
  <c r="C54" i="1"/>
  <c r="B54" i="1"/>
  <c r="C47" i="1"/>
  <c r="N26" i="4" s="1"/>
  <c r="D46" i="1"/>
  <c r="W9" i="4" s="1"/>
  <c r="B46" i="1"/>
  <c r="D38" i="1"/>
  <c r="B38" i="1"/>
  <c r="D33" i="1"/>
  <c r="X42" i="4" s="1"/>
  <c r="C33" i="1"/>
  <c r="O23" i="4" s="1"/>
  <c r="B33" i="1"/>
  <c r="B22" i="1"/>
  <c r="B21" i="1"/>
  <c r="D15" i="1"/>
  <c r="C15" i="1"/>
  <c r="B15" i="1"/>
  <c r="D14" i="1"/>
  <c r="C14" i="1"/>
  <c r="B14" i="1"/>
  <c r="D13" i="1"/>
  <c r="C13" i="1"/>
  <c r="B13" i="1"/>
  <c r="X6" i="4" s="1"/>
  <c r="D12" i="1"/>
  <c r="C12" i="1"/>
  <c r="B12" i="1"/>
  <c r="C58" i="1" l="1"/>
  <c r="B58" i="1"/>
  <c r="X14" i="4"/>
  <c r="X41" i="4"/>
  <c r="X39" i="4"/>
  <c r="X44" i="4"/>
  <c r="N11" i="4"/>
  <c r="N28" i="4"/>
  <c r="N31" i="4"/>
  <c r="N47" i="4"/>
  <c r="N44" i="4"/>
  <c r="N7" i="4"/>
  <c r="N18" i="4"/>
  <c r="N10" i="4"/>
  <c r="N12" i="4"/>
  <c r="P12" i="4" s="1"/>
  <c r="P18" i="4"/>
  <c r="N27" i="4"/>
  <c r="N32" i="4"/>
  <c r="N8" i="4"/>
  <c r="P13" i="4"/>
  <c r="N9" i="4"/>
  <c r="N14" i="4"/>
  <c r="N17" i="4"/>
  <c r="D105" i="1"/>
  <c r="B48" i="1"/>
  <c r="E19" i="4" s="1"/>
  <c r="D48" i="1"/>
  <c r="J79" i="4"/>
  <c r="E30" i="4"/>
  <c r="E31" i="4"/>
  <c r="P10" i="4"/>
  <c r="T10" i="4" s="1"/>
  <c r="O44" i="4"/>
  <c r="E37" i="4"/>
  <c r="P31" i="4"/>
  <c r="T31" i="4" s="1"/>
  <c r="P17" i="4"/>
  <c r="T17" i="4" s="1"/>
  <c r="N62" i="4"/>
  <c r="C18" i="11" s="1"/>
  <c r="E52" i="4"/>
  <c r="E46" i="4"/>
  <c r="F77" i="4"/>
  <c r="E43" i="4"/>
  <c r="L57" i="4"/>
  <c r="B110" i="1"/>
  <c r="F53" i="4"/>
  <c r="F50" i="4"/>
  <c r="F47" i="4"/>
  <c r="F44" i="4"/>
  <c r="F41" i="4"/>
  <c r="F38" i="4"/>
  <c r="F35" i="4"/>
  <c r="F54" i="4"/>
  <c r="F51" i="4"/>
  <c r="F48" i="4"/>
  <c r="F45" i="4"/>
  <c r="F43" i="4"/>
  <c r="F39" i="4"/>
  <c r="F28" i="4"/>
  <c r="F19" i="4"/>
  <c r="AE19" i="4" s="1"/>
  <c r="F40" i="4"/>
  <c r="F36" i="4"/>
  <c r="F32" i="4"/>
  <c r="F27" i="4"/>
  <c r="F18" i="4"/>
  <c r="F46" i="4"/>
  <c r="F37" i="4"/>
  <c r="F31" i="4"/>
  <c r="F22" i="4"/>
  <c r="F55" i="4"/>
  <c r="F42" i="4"/>
  <c r="F16" i="4"/>
  <c r="F52" i="4"/>
  <c r="F34" i="4"/>
  <c r="F49" i="4"/>
  <c r="F15" i="4"/>
  <c r="F23" i="4"/>
  <c r="F33" i="4"/>
  <c r="F26" i="4"/>
  <c r="R11" i="4"/>
  <c r="I9" i="4"/>
  <c r="I55" i="4"/>
  <c r="AA54" i="4"/>
  <c r="R53" i="4"/>
  <c r="I52" i="4"/>
  <c r="AA51" i="4"/>
  <c r="R50" i="4"/>
  <c r="I49" i="4"/>
  <c r="AA48" i="4"/>
  <c r="R47" i="4"/>
  <c r="I46" i="4"/>
  <c r="AA45" i="4"/>
  <c r="R44" i="4"/>
  <c r="I43" i="4"/>
  <c r="AA42" i="4"/>
  <c r="R41" i="4"/>
  <c r="I40" i="4"/>
  <c r="AA39" i="4"/>
  <c r="R38" i="4"/>
  <c r="I37" i="4"/>
  <c r="AA36" i="4"/>
  <c r="R35" i="4"/>
  <c r="I34" i="4"/>
  <c r="AA33" i="4"/>
  <c r="R32" i="4"/>
  <c r="AA55" i="4"/>
  <c r="R54" i="4"/>
  <c r="I53" i="4"/>
  <c r="AA52" i="4"/>
  <c r="R51" i="4"/>
  <c r="I50" i="4"/>
  <c r="AA49" i="4"/>
  <c r="R48" i="4"/>
  <c r="I47" i="4"/>
  <c r="AA46" i="4"/>
  <c r="R45" i="4"/>
  <c r="I44" i="4"/>
  <c r="AA43" i="4"/>
  <c r="R42" i="4"/>
  <c r="I41" i="4"/>
  <c r="AA40" i="4"/>
  <c r="R39" i="4"/>
  <c r="I38" i="4"/>
  <c r="AA37" i="4"/>
  <c r="R36" i="4"/>
  <c r="I35" i="4"/>
  <c r="AA34" i="4"/>
  <c r="R33" i="4"/>
  <c r="I32" i="4"/>
  <c r="AA30" i="4"/>
  <c r="I27" i="4"/>
  <c r="R24" i="4"/>
  <c r="AA21" i="4"/>
  <c r="I18" i="4"/>
  <c r="R15" i="4"/>
  <c r="AA12" i="4"/>
  <c r="AA11" i="4"/>
  <c r="AA10" i="4"/>
  <c r="AA9" i="4"/>
  <c r="AA8" i="4"/>
  <c r="AA7" i="4"/>
  <c r="AA5" i="4"/>
  <c r="J81" i="4" s="1"/>
  <c r="I51" i="4"/>
  <c r="AA44" i="4"/>
  <c r="I33" i="4"/>
  <c r="R28" i="4"/>
  <c r="I26" i="4"/>
  <c r="AA25" i="4"/>
  <c r="R23" i="4"/>
  <c r="R19" i="4"/>
  <c r="I17" i="4"/>
  <c r="AA16" i="4"/>
  <c r="R14" i="4"/>
  <c r="I12" i="4"/>
  <c r="I11" i="4"/>
  <c r="I10" i="4"/>
  <c r="AA41" i="4"/>
  <c r="AA29" i="4"/>
  <c r="AA20" i="4"/>
  <c r="R52" i="4"/>
  <c r="R43" i="4"/>
  <c r="I30" i="4"/>
  <c r="R27" i="4"/>
  <c r="AA24" i="4"/>
  <c r="I21" i="4"/>
  <c r="R18" i="4"/>
  <c r="T18" i="4" s="1"/>
  <c r="AA15" i="4"/>
  <c r="R49" i="4"/>
  <c r="I42" i="4"/>
  <c r="R25" i="4"/>
  <c r="I24" i="4"/>
  <c r="R20" i="4"/>
  <c r="AA19" i="4"/>
  <c r="I19" i="4"/>
  <c r="AA14" i="4"/>
  <c r="I14" i="4"/>
  <c r="R13" i="4"/>
  <c r="T13" i="4" s="1"/>
  <c r="R5" i="4"/>
  <c r="F81" i="4" s="1"/>
  <c r="R46" i="4"/>
  <c r="I7" i="4"/>
  <c r="I54" i="4"/>
  <c r="R40" i="4"/>
  <c r="R37" i="4"/>
  <c r="R6" i="4"/>
  <c r="I48" i="4"/>
  <c r="AA38" i="4"/>
  <c r="AA32" i="4"/>
  <c r="I25" i="4"/>
  <c r="I20" i="4"/>
  <c r="AA53" i="4"/>
  <c r="I45" i="4"/>
  <c r="R55" i="4"/>
  <c r="AA50" i="4"/>
  <c r="AA13" i="4"/>
  <c r="I6" i="4"/>
  <c r="AA47" i="4"/>
  <c r="I36" i="4"/>
  <c r="I31" i="4"/>
  <c r="I16" i="4"/>
  <c r="AA6" i="4"/>
  <c r="AA31" i="4"/>
  <c r="R30" i="4"/>
  <c r="AA26" i="4"/>
  <c r="AC6" i="4"/>
  <c r="Y6" i="4"/>
  <c r="P22" i="4"/>
  <c r="T22" i="4" s="1"/>
  <c r="X29" i="4"/>
  <c r="W62" i="4"/>
  <c r="D18" i="11" s="1"/>
  <c r="I13" i="4"/>
  <c r="R26" i="4"/>
  <c r="E34" i="4"/>
  <c r="X38" i="4"/>
  <c r="J77" i="4"/>
  <c r="O54" i="4"/>
  <c r="O51" i="4"/>
  <c r="O48" i="4"/>
  <c r="O45" i="4"/>
  <c r="O42" i="4"/>
  <c r="O39" i="4"/>
  <c r="O36" i="4"/>
  <c r="O55" i="4"/>
  <c r="O52" i="4"/>
  <c r="O49" i="4"/>
  <c r="O46" i="4"/>
  <c r="O50" i="4"/>
  <c r="O35" i="4"/>
  <c r="O24" i="4"/>
  <c r="O15" i="4"/>
  <c r="O43" i="4"/>
  <c r="O34" i="4"/>
  <c r="O30" i="4"/>
  <c r="O11" i="4"/>
  <c r="AE11" i="4" s="1"/>
  <c r="O47" i="4"/>
  <c r="P47" i="4" s="1"/>
  <c r="O40" i="4"/>
  <c r="O37" i="4"/>
  <c r="O31" i="4"/>
  <c r="O26" i="4"/>
  <c r="O19" i="4"/>
  <c r="O29" i="4"/>
  <c r="O12" i="4"/>
  <c r="O9" i="4"/>
  <c r="P9" i="4" s="1"/>
  <c r="O7" i="4"/>
  <c r="O53" i="4"/>
  <c r="O32" i="4"/>
  <c r="O27" i="4"/>
  <c r="O22" i="4"/>
  <c r="O17" i="4"/>
  <c r="G11" i="4"/>
  <c r="K11" i="4" s="1"/>
  <c r="F14" i="4"/>
  <c r="E62" i="4"/>
  <c r="B18" i="11" s="1"/>
  <c r="AA17" i="4"/>
  <c r="R21" i="4"/>
  <c r="R22" i="4"/>
  <c r="X24" i="4"/>
  <c r="X25" i="4"/>
  <c r="AA27" i="4"/>
  <c r="AA28" i="4"/>
  <c r="F76" i="4"/>
  <c r="P5" i="4"/>
  <c r="P8" i="4"/>
  <c r="T8" i="4" s="1"/>
  <c r="E26" i="4"/>
  <c r="P32" i="4"/>
  <c r="B107" i="1"/>
  <c r="I15" i="4"/>
  <c r="X19" i="4"/>
  <c r="X36" i="4"/>
  <c r="O41" i="4"/>
  <c r="D109" i="1"/>
  <c r="D106" i="1"/>
  <c r="B106" i="1"/>
  <c r="P23" i="4"/>
  <c r="T23" i="4" s="1"/>
  <c r="X55" i="4"/>
  <c r="X52" i="4"/>
  <c r="X49" i="4"/>
  <c r="X46" i="4"/>
  <c r="X43" i="4"/>
  <c r="X40" i="4"/>
  <c r="X37" i="4"/>
  <c r="X34" i="4"/>
  <c r="X53" i="4"/>
  <c r="X50" i="4"/>
  <c r="X47" i="4"/>
  <c r="X54" i="4"/>
  <c r="X32" i="4"/>
  <c r="X26" i="4"/>
  <c r="X17" i="4"/>
  <c r="X12" i="4"/>
  <c r="X11" i="4"/>
  <c r="X10" i="4"/>
  <c r="X9" i="4"/>
  <c r="AC9" i="4" s="1"/>
  <c r="X33" i="4"/>
  <c r="X30" i="4"/>
  <c r="X21" i="4"/>
  <c r="X31" i="4"/>
  <c r="X16" i="4"/>
  <c r="X7" i="4"/>
  <c r="X35" i="4"/>
  <c r="X27" i="4"/>
  <c r="X22" i="4"/>
  <c r="X20" i="4"/>
  <c r="X15" i="4"/>
  <c r="X8" i="4"/>
  <c r="AC8" i="4" s="1"/>
  <c r="X51" i="4"/>
  <c r="X48" i="4"/>
  <c r="X45" i="4"/>
  <c r="X28" i="4"/>
  <c r="X23" i="4"/>
  <c r="X18" i="4"/>
  <c r="X13" i="4"/>
  <c r="AA18" i="4"/>
  <c r="E29" i="4"/>
  <c r="F6" i="4"/>
  <c r="E28" i="4"/>
  <c r="W48" i="4"/>
  <c r="W55" i="4"/>
  <c r="W52" i="4"/>
  <c r="W49" i="4"/>
  <c r="W46" i="4"/>
  <c r="W43" i="4"/>
  <c r="W40" i="4"/>
  <c r="W37" i="4"/>
  <c r="W34" i="4"/>
  <c r="W53" i="4"/>
  <c r="W50" i="4"/>
  <c r="W47" i="4"/>
  <c r="W44" i="4"/>
  <c r="W41" i="4"/>
  <c r="W38" i="4"/>
  <c r="W35" i="4"/>
  <c r="W32" i="4"/>
  <c r="W45" i="4"/>
  <c r="W39" i="4"/>
  <c r="W27" i="4"/>
  <c r="W18" i="4"/>
  <c r="W36" i="4"/>
  <c r="W31" i="4"/>
  <c r="W22" i="4"/>
  <c r="W13" i="4"/>
  <c r="W54" i="4"/>
  <c r="W26" i="4"/>
  <c r="W17" i="4"/>
  <c r="W33" i="4"/>
  <c r="W30" i="4"/>
  <c r="W21" i="4"/>
  <c r="F10" i="4"/>
  <c r="F9" i="4"/>
  <c r="F8" i="4"/>
  <c r="F7" i="4"/>
  <c r="F13" i="4"/>
  <c r="F12" i="4"/>
  <c r="AF12" i="4" s="1"/>
  <c r="F11" i="4"/>
  <c r="AF11" i="4" s="1"/>
  <c r="E64" i="4"/>
  <c r="E53" i="4"/>
  <c r="E50" i="4"/>
  <c r="E47" i="4"/>
  <c r="E44" i="4"/>
  <c r="E41" i="4"/>
  <c r="E38" i="4"/>
  <c r="E35" i="4"/>
  <c r="E32" i="4"/>
  <c r="E54" i="4"/>
  <c r="E51" i="4"/>
  <c r="E48" i="4"/>
  <c r="E45" i="4"/>
  <c r="E42" i="4"/>
  <c r="E39" i="4"/>
  <c r="E36" i="4"/>
  <c r="E33" i="4"/>
  <c r="E24" i="4"/>
  <c r="E15" i="4"/>
  <c r="E49" i="4"/>
  <c r="E23" i="4"/>
  <c r="E14" i="4"/>
  <c r="E40" i="4"/>
  <c r="E27" i="4"/>
  <c r="E18" i="4"/>
  <c r="B76" i="4"/>
  <c r="E13" i="4"/>
  <c r="W15" i="4"/>
  <c r="P19" i="4"/>
  <c r="T19" i="4" s="1"/>
  <c r="W20" i="4"/>
  <c r="F5" i="4"/>
  <c r="J76" i="4"/>
  <c r="P14" i="4"/>
  <c r="T14" i="4" s="1"/>
  <c r="E20" i="4"/>
  <c r="E25" i="4"/>
  <c r="W25" i="4"/>
  <c r="D145" i="8"/>
  <c r="C145" i="8"/>
  <c r="B8" i="11"/>
  <c r="B145" i="8"/>
  <c r="B98" i="7"/>
  <c r="B47" i="7"/>
  <c r="B99" i="7" s="1"/>
  <c r="D70" i="1"/>
  <c r="T6" i="4"/>
  <c r="W14" i="4"/>
  <c r="E17" i="4"/>
  <c r="W19" i="4"/>
  <c r="E22" i="4"/>
  <c r="W24" i="4"/>
  <c r="P28" i="4"/>
  <c r="T28" i="4" s="1"/>
  <c r="W29" i="4"/>
  <c r="W42" i="4"/>
  <c r="C110" i="7"/>
  <c r="C6" i="11"/>
  <c r="C101" i="7"/>
  <c r="E16" i="4"/>
  <c r="E55" i="4"/>
  <c r="D110" i="7"/>
  <c r="D101" i="7"/>
  <c r="D6" i="11"/>
  <c r="W16" i="4"/>
  <c r="D47" i="7"/>
  <c r="D99" i="7" s="1"/>
  <c r="E10" i="4"/>
  <c r="E9" i="4"/>
  <c r="E8" i="4"/>
  <c r="E7" i="4"/>
  <c r="E6" i="4"/>
  <c r="N54" i="4"/>
  <c r="N51" i="4"/>
  <c r="N48" i="4"/>
  <c r="N45" i="4"/>
  <c r="N42" i="4"/>
  <c r="N39" i="4"/>
  <c r="N36" i="4"/>
  <c r="N33" i="4"/>
  <c r="N55" i="4"/>
  <c r="N52" i="4"/>
  <c r="N49" i="4"/>
  <c r="N46" i="4"/>
  <c r="N43" i="4"/>
  <c r="N40" i="4"/>
  <c r="N37" i="4"/>
  <c r="N34" i="4"/>
  <c r="N53" i="4"/>
  <c r="N41" i="4"/>
  <c r="N30" i="4"/>
  <c r="N21" i="4"/>
  <c r="N38" i="4"/>
  <c r="N29" i="4"/>
  <c r="N25" i="4"/>
  <c r="N20" i="4"/>
  <c r="N16" i="4"/>
  <c r="N50" i="4"/>
  <c r="N35" i="4"/>
  <c r="N24" i="4"/>
  <c r="N15" i="4"/>
  <c r="E21" i="4"/>
  <c r="C7" i="11"/>
  <c r="B110" i="7"/>
  <c r="B27" i="9"/>
  <c r="B6" i="11"/>
  <c r="A132" i="7"/>
  <c r="A132" i="8"/>
  <c r="D9" i="11"/>
  <c r="C9" i="11"/>
  <c r="B9" i="11"/>
  <c r="B28" i="9"/>
  <c r="B101" i="7"/>
  <c r="W10" i="4"/>
  <c r="W11" i="4"/>
  <c r="W12" i="4"/>
  <c r="C23" i="9"/>
  <c r="P7" i="4" l="1"/>
  <c r="N59" i="4"/>
  <c r="C16" i="11" s="1"/>
  <c r="T32" i="4"/>
  <c r="P44" i="4"/>
  <c r="T44" i="4" s="1"/>
  <c r="E59" i="4"/>
  <c r="B16" i="11" s="1"/>
  <c r="W51" i="4"/>
  <c r="W23" i="4"/>
  <c r="Y23" i="4" s="1"/>
  <c r="AC23" i="4" s="1"/>
  <c r="W28" i="4"/>
  <c r="Y28" i="4" s="1"/>
  <c r="AC28" i="4" s="1"/>
  <c r="W59" i="4"/>
  <c r="D16" i="11" s="1"/>
  <c r="AF52" i="4"/>
  <c r="AE52" i="4"/>
  <c r="G52" i="4"/>
  <c r="K52" i="4" s="1"/>
  <c r="G31" i="4"/>
  <c r="AF31" i="4"/>
  <c r="AE31" i="4"/>
  <c r="K31" i="4"/>
  <c r="P40" i="4"/>
  <c r="T40" i="4" s="1"/>
  <c r="G30" i="4"/>
  <c r="K30" i="4" s="1"/>
  <c r="AF30" i="4"/>
  <c r="AE30" i="4"/>
  <c r="T11" i="4"/>
  <c r="P54" i="4"/>
  <c r="T54" i="4"/>
  <c r="Y31" i="4"/>
  <c r="AC31" i="4" s="1"/>
  <c r="Y24" i="4"/>
  <c r="AC24" i="4" s="1"/>
  <c r="P11" i="4"/>
  <c r="B7" i="11"/>
  <c r="B102" i="7"/>
  <c r="B16" i="1"/>
  <c r="D16" i="1"/>
  <c r="C16" i="1"/>
  <c r="Y48" i="4"/>
  <c r="AC48" i="4" s="1"/>
  <c r="P35" i="4"/>
  <c r="T35" i="4" s="1"/>
  <c r="AE28" i="4"/>
  <c r="AF28" i="4"/>
  <c r="G28" i="4"/>
  <c r="K28" i="4" s="1"/>
  <c r="AE32" i="4"/>
  <c r="AF32" i="4"/>
  <c r="G32" i="4"/>
  <c r="K32" i="4" s="1"/>
  <c r="G19" i="4"/>
  <c r="K19" i="4" s="1"/>
  <c r="Y13" i="4"/>
  <c r="AC13" i="4" s="1"/>
  <c r="G14" i="4"/>
  <c r="K14" i="4" s="1"/>
  <c r="AF14" i="4"/>
  <c r="AE14" i="4"/>
  <c r="Y47" i="4"/>
  <c r="AC47" i="4" s="1"/>
  <c r="P43" i="4"/>
  <c r="T43" i="4" s="1"/>
  <c r="G23" i="4"/>
  <c r="AF23" i="4"/>
  <c r="AE23" i="4"/>
  <c r="K23" i="4"/>
  <c r="Y50" i="4"/>
  <c r="AC50" i="4" s="1"/>
  <c r="P20" i="4"/>
  <c r="T20" i="4"/>
  <c r="AE16" i="4"/>
  <c r="G16" i="4"/>
  <c r="K16" i="4" s="1"/>
  <c r="AF16" i="4"/>
  <c r="G49" i="4"/>
  <c r="K49" i="4" s="1"/>
  <c r="AE49" i="4"/>
  <c r="AF49" i="4"/>
  <c r="P49" i="4"/>
  <c r="T49" i="4" s="1"/>
  <c r="AF38" i="4"/>
  <c r="AE38" i="4"/>
  <c r="G38" i="4"/>
  <c r="K38" i="4" s="1"/>
  <c r="Y18" i="4"/>
  <c r="AC18" i="4"/>
  <c r="T7" i="4"/>
  <c r="AE43" i="4"/>
  <c r="AF43" i="4"/>
  <c r="G43" i="4"/>
  <c r="K43" i="4"/>
  <c r="P27" i="4"/>
  <c r="T27" i="4" s="1"/>
  <c r="Y27" i="4"/>
  <c r="AC27" i="4" s="1"/>
  <c r="T47" i="4"/>
  <c r="Y12" i="4"/>
  <c r="AC12" i="4"/>
  <c r="P55" i="4"/>
  <c r="T55" i="4"/>
  <c r="G13" i="4"/>
  <c r="AE13" i="4"/>
  <c r="K13" i="4"/>
  <c r="AF13" i="4"/>
  <c r="Y39" i="4"/>
  <c r="AC39" i="4"/>
  <c r="G29" i="4"/>
  <c r="K29" i="4" s="1"/>
  <c r="AF29" i="4"/>
  <c r="AE29" i="4"/>
  <c r="P33" i="4"/>
  <c r="T33" i="4"/>
  <c r="G17" i="4"/>
  <c r="K17" i="4" s="1"/>
  <c r="AF17" i="4"/>
  <c r="AE17" i="4"/>
  <c r="G25" i="4"/>
  <c r="K25" i="4" s="1"/>
  <c r="AF25" i="4"/>
  <c r="AE25" i="4"/>
  <c r="AE36" i="4"/>
  <c r="AF36" i="4"/>
  <c r="G36" i="4"/>
  <c r="K36" i="4" s="1"/>
  <c r="G47" i="4"/>
  <c r="K47" i="4" s="1"/>
  <c r="AF47" i="4"/>
  <c r="AE47" i="4"/>
  <c r="Y30" i="4"/>
  <c r="AC30" i="4"/>
  <c r="Y45" i="4"/>
  <c r="AC45" i="4" s="1"/>
  <c r="Y43" i="4"/>
  <c r="AC43" i="4"/>
  <c r="Y51" i="4"/>
  <c r="AC51" i="4" s="1"/>
  <c r="AF19" i="4"/>
  <c r="P37" i="4"/>
  <c r="T37" i="4" s="1"/>
  <c r="Y29" i="4"/>
  <c r="AC29" i="4" s="1"/>
  <c r="AF51" i="4"/>
  <c r="AE51" i="4"/>
  <c r="G51" i="4"/>
  <c r="K51" i="4" s="1"/>
  <c r="AF34" i="4"/>
  <c r="AE34" i="4"/>
  <c r="G34" i="4"/>
  <c r="K34" i="4" s="1"/>
  <c r="P51" i="4"/>
  <c r="T51" i="4" s="1"/>
  <c r="E60" i="4"/>
  <c r="B77" i="4"/>
  <c r="G5" i="4"/>
  <c r="AE5" i="4"/>
  <c r="B87" i="4" s="1"/>
  <c r="Y22" i="4"/>
  <c r="AC22" i="4" s="1"/>
  <c r="AF55" i="4"/>
  <c r="G55" i="4"/>
  <c r="K55" i="4" s="1"/>
  <c r="AE55" i="4"/>
  <c r="Y20" i="4"/>
  <c r="AC20" i="4" s="1"/>
  <c r="G26" i="4"/>
  <c r="K26" i="4" s="1"/>
  <c r="AF26" i="4"/>
  <c r="AE26" i="4"/>
  <c r="P46" i="4"/>
  <c r="T46" i="4"/>
  <c r="AF35" i="4"/>
  <c r="AE35" i="4"/>
  <c r="G35" i="4"/>
  <c r="K35" i="4"/>
  <c r="Y36" i="4"/>
  <c r="AC36" i="4" s="1"/>
  <c r="Y53" i="4"/>
  <c r="AC53" i="4" s="1"/>
  <c r="T9" i="4"/>
  <c r="B10" i="11"/>
  <c r="P25" i="4"/>
  <c r="T25" i="4"/>
  <c r="AF7" i="4"/>
  <c r="AE7" i="4"/>
  <c r="G7" i="4"/>
  <c r="K7" i="4" s="1"/>
  <c r="AE12" i="4"/>
  <c r="G22" i="4"/>
  <c r="K22" i="4"/>
  <c r="AF22" i="4"/>
  <c r="AE22" i="4"/>
  <c r="AF15" i="4"/>
  <c r="AE15" i="4"/>
  <c r="G15" i="4"/>
  <c r="K15" i="4" s="1"/>
  <c r="Y34" i="4"/>
  <c r="AC34" i="4" s="1"/>
  <c r="B29" i="9"/>
  <c r="AE8" i="4"/>
  <c r="AF8" i="4"/>
  <c r="G8" i="4"/>
  <c r="K8" i="4" s="1"/>
  <c r="AF41" i="4"/>
  <c r="AE41" i="4"/>
  <c r="G41" i="4"/>
  <c r="K41" i="4" s="1"/>
  <c r="T5" i="4"/>
  <c r="G9" i="4"/>
  <c r="K9" i="4" s="1"/>
  <c r="AE9" i="4"/>
  <c r="AF9" i="4"/>
  <c r="K12" i="4"/>
  <c r="Y25" i="4"/>
  <c r="AC25" i="4" s="1"/>
  <c r="AF44" i="4"/>
  <c r="AE44" i="4"/>
  <c r="G44" i="4"/>
  <c r="K44" i="4" s="1"/>
  <c r="Y21" i="4"/>
  <c r="AC21" i="4"/>
  <c r="Y40" i="4"/>
  <c r="AC40" i="4"/>
  <c r="F79" i="4"/>
  <c r="Y11" i="4"/>
  <c r="AC11" i="4" s="1"/>
  <c r="P21" i="4"/>
  <c r="T21" i="4" s="1"/>
  <c r="G10" i="4"/>
  <c r="K10" i="4" s="1"/>
  <c r="AE10" i="4"/>
  <c r="AF10" i="4"/>
  <c r="Y10" i="4"/>
  <c r="AC10" i="4"/>
  <c r="AE21" i="4"/>
  <c r="G21" i="4"/>
  <c r="K21" i="4" s="1"/>
  <c r="AF21" i="4"/>
  <c r="P30" i="4"/>
  <c r="T30" i="4" s="1"/>
  <c r="P36" i="4"/>
  <c r="T36" i="4" s="1"/>
  <c r="D7" i="11"/>
  <c r="D102" i="7"/>
  <c r="C10" i="11"/>
  <c r="Y14" i="4"/>
  <c r="AC14" i="4" s="1"/>
  <c r="G20" i="4"/>
  <c r="K20" i="4" s="1"/>
  <c r="AF20" i="4"/>
  <c r="AE20" i="4"/>
  <c r="K5" i="4"/>
  <c r="AE39" i="4"/>
  <c r="G39" i="4"/>
  <c r="K39" i="4"/>
  <c r="AF39" i="4"/>
  <c r="G50" i="4"/>
  <c r="AF50" i="4"/>
  <c r="AE50" i="4"/>
  <c r="K50" i="4"/>
  <c r="Y33" i="4"/>
  <c r="AC33" i="4" s="1"/>
  <c r="Y32" i="4"/>
  <c r="AC32" i="4" s="1"/>
  <c r="Y46" i="4"/>
  <c r="AC46" i="4" s="1"/>
  <c r="AC5" i="4"/>
  <c r="G37" i="4"/>
  <c r="K37" i="4" s="1"/>
  <c r="AF37" i="4"/>
  <c r="AE37" i="4"/>
  <c r="P48" i="4"/>
  <c r="T48" i="4"/>
  <c r="G40" i="4"/>
  <c r="K40" i="4" s="1"/>
  <c r="AF40" i="4"/>
  <c r="AE40" i="4"/>
  <c r="Y44" i="4"/>
  <c r="AC44" i="4" s="1"/>
  <c r="P50" i="4"/>
  <c r="T50" i="4" s="1"/>
  <c r="AF54" i="4"/>
  <c r="AE54" i="4"/>
  <c r="G54" i="4"/>
  <c r="K54" i="4" s="1"/>
  <c r="P16" i="4"/>
  <c r="T16" i="4" s="1"/>
  <c r="P29" i="4"/>
  <c r="T29" i="4" s="1"/>
  <c r="G12" i="4"/>
  <c r="AF24" i="4"/>
  <c r="G24" i="4"/>
  <c r="K24" i="4" s="1"/>
  <c r="AE24" i="4"/>
  <c r="Y37" i="4"/>
  <c r="AC37" i="4"/>
  <c r="T12" i="4"/>
  <c r="P38" i="4"/>
  <c r="T38" i="4" s="1"/>
  <c r="AE33" i="4"/>
  <c r="G33" i="4"/>
  <c r="K33" i="4" s="1"/>
  <c r="AF33" i="4"/>
  <c r="P41" i="4"/>
  <c r="T41" i="4" s="1"/>
  <c r="P39" i="4"/>
  <c r="T39" i="4" s="1"/>
  <c r="Y16" i="4"/>
  <c r="AC16" i="4" s="1"/>
  <c r="AE42" i="4"/>
  <c r="AF42" i="4"/>
  <c r="G42" i="4"/>
  <c r="K42" i="4" s="1"/>
  <c r="G53" i="4"/>
  <c r="K53" i="4" s="1"/>
  <c r="AF53" i="4"/>
  <c r="AE53" i="4"/>
  <c r="Y17" i="4"/>
  <c r="AC17" i="4" s="1"/>
  <c r="Y35" i="4"/>
  <c r="AC35" i="4" s="1"/>
  <c r="Y49" i="4"/>
  <c r="AC49" i="4" s="1"/>
  <c r="AC7" i="4"/>
  <c r="W60" i="4"/>
  <c r="N60" i="4"/>
  <c r="P15" i="4"/>
  <c r="T15" i="4"/>
  <c r="P53" i="4"/>
  <c r="T53" i="4" s="1"/>
  <c r="P42" i="4"/>
  <c r="T42" i="4" s="1"/>
  <c r="AF5" i="4"/>
  <c r="B89" i="4" s="1"/>
  <c r="G18" i="4"/>
  <c r="K18" i="4" s="1"/>
  <c r="AF18" i="4"/>
  <c r="AE18" i="4"/>
  <c r="AF45" i="4"/>
  <c r="AE45" i="4"/>
  <c r="G45" i="4"/>
  <c r="K45" i="4" s="1"/>
  <c r="Y26" i="4"/>
  <c r="AC26" i="4"/>
  <c r="Y38" i="4"/>
  <c r="AC38" i="4" s="1"/>
  <c r="Y52" i="4"/>
  <c r="AC52" i="4" s="1"/>
  <c r="P26" i="4"/>
  <c r="T26" i="4" s="1"/>
  <c r="G6" i="4"/>
  <c r="AF6" i="4"/>
  <c r="AE6" i="4"/>
  <c r="K6" i="4"/>
  <c r="B30" i="9"/>
  <c r="B37" i="10"/>
  <c r="B38" i="10" s="1"/>
  <c r="P52" i="4"/>
  <c r="T52" i="4" s="1"/>
  <c r="Y19" i="4"/>
  <c r="AC19" i="4" s="1"/>
  <c r="Y15" i="4"/>
  <c r="AC15" i="4" s="1"/>
  <c r="P24" i="4"/>
  <c r="T24" i="4"/>
  <c r="P34" i="4"/>
  <c r="T34" i="4"/>
  <c r="P45" i="4"/>
  <c r="T45" i="4"/>
  <c r="D10" i="11"/>
  <c r="Y42" i="4"/>
  <c r="AC42" i="4"/>
  <c r="G27" i="4"/>
  <c r="K27" i="4" s="1"/>
  <c r="AF27" i="4"/>
  <c r="AE27" i="4"/>
  <c r="AF48" i="4"/>
  <c r="AE48" i="4"/>
  <c r="G48" i="4"/>
  <c r="K48" i="4" s="1"/>
  <c r="Y54" i="4"/>
  <c r="AC54" i="4" s="1"/>
  <c r="Y41" i="4"/>
  <c r="AC41" i="4" s="1"/>
  <c r="Y55" i="4"/>
  <c r="AC55" i="4" s="1"/>
  <c r="AE46" i="4"/>
  <c r="G46" i="4"/>
  <c r="K46" i="4" s="1"/>
  <c r="AF46" i="4"/>
  <c r="W61" i="4" l="1"/>
  <c r="D17" i="11" s="1"/>
  <c r="J84" i="4"/>
  <c r="AD5" i="4"/>
  <c r="F84" i="4"/>
  <c r="U5" i="4"/>
  <c r="D11" i="11"/>
  <c r="C11" i="11"/>
  <c r="B11" i="11"/>
  <c r="N61" i="4"/>
  <c r="C17" i="11" s="1"/>
  <c r="B84" i="4"/>
  <c r="L5" i="4"/>
  <c r="B79" i="4"/>
  <c r="E61" i="4"/>
  <c r="B17" i="11" s="1"/>
  <c r="F44" i="10" l="1"/>
  <c r="C44" i="10"/>
  <c r="B85" i="4"/>
  <c r="AG5" i="4"/>
  <c r="B88" i="4" s="1"/>
  <c r="AH5" i="4"/>
  <c r="B90" i="4" s="1"/>
  <c r="L6" i="4"/>
  <c r="U6" i="4"/>
  <c r="D44" i="10"/>
  <c r="F85" i="4"/>
  <c r="E44" i="10"/>
  <c r="J85" i="4"/>
  <c r="AD6" i="4"/>
  <c r="E45" i="10" l="1"/>
  <c r="AD7" i="4"/>
  <c r="AD8" i="4" s="1"/>
  <c r="AD9" i="4" s="1"/>
  <c r="D45" i="10"/>
  <c r="U7" i="4"/>
  <c r="U8" i="4" s="1"/>
  <c r="U9" i="4" s="1"/>
  <c r="F45" i="10"/>
  <c r="L7" i="4"/>
  <c r="C45" i="10"/>
  <c r="AG6" i="4"/>
  <c r="AH6" i="4"/>
  <c r="L8" i="4" l="1"/>
  <c r="AH7" i="4"/>
  <c r="AG7" i="4"/>
  <c r="E46" i="10"/>
  <c r="AD10" i="4"/>
  <c r="AD11" i="4" s="1"/>
  <c r="AD12" i="4" s="1"/>
  <c r="AD13" i="4" s="1"/>
  <c r="D46" i="10"/>
  <c r="U10" i="4"/>
  <c r="U11" i="4" s="1"/>
  <c r="U12" i="4" s="1"/>
  <c r="U13" i="4" s="1"/>
  <c r="AD14" i="4" l="1"/>
  <c r="AD15" i="4" s="1"/>
  <c r="AD16" i="4" s="1"/>
  <c r="AD17" i="4" s="1"/>
  <c r="AD18" i="4" s="1"/>
  <c r="AD19" i="4" s="1"/>
  <c r="E47" i="10"/>
  <c r="U14" i="4"/>
  <c r="U15" i="4" s="1"/>
  <c r="U16" i="4" s="1"/>
  <c r="U17" i="4" s="1"/>
  <c r="U18" i="4" s="1"/>
  <c r="U19" i="4" s="1"/>
  <c r="D47" i="10"/>
  <c r="AH8" i="4"/>
  <c r="L9" i="4"/>
  <c r="AG8" i="4"/>
  <c r="C46" i="10" l="1"/>
  <c r="F46" i="10"/>
  <c r="AH9" i="4"/>
  <c r="AG9" i="4"/>
  <c r="L10" i="4"/>
  <c r="U20" i="4"/>
  <c r="U21" i="4" s="1"/>
  <c r="U22" i="4" s="1"/>
  <c r="U23" i="4" s="1"/>
  <c r="U24" i="4" s="1"/>
  <c r="U25" i="4" s="1"/>
  <c r="U26" i="4" s="1"/>
  <c r="U27" i="4" s="1"/>
  <c r="U28" i="4" s="1"/>
  <c r="D48" i="10"/>
  <c r="E48" i="10"/>
  <c r="AD20" i="4"/>
  <c r="AD21" i="4" s="1"/>
  <c r="AD22" i="4" s="1"/>
  <c r="AD23" i="4" s="1"/>
  <c r="AD24" i="4" s="1"/>
  <c r="AD25" i="4" s="1"/>
  <c r="AD26" i="4" s="1"/>
  <c r="AD27" i="4" s="1"/>
  <c r="AD28" i="4" s="1"/>
  <c r="AD29" i="4" l="1"/>
  <c r="AD30" i="4" s="1"/>
  <c r="AD31" i="4" s="1"/>
  <c r="AD32" i="4" s="1"/>
  <c r="AD33" i="4" s="1"/>
  <c r="AD34" i="4" s="1"/>
  <c r="AD35" i="4" s="1"/>
  <c r="E49" i="10"/>
  <c r="U29" i="4"/>
  <c r="U30" i="4" s="1"/>
  <c r="U31" i="4" s="1"/>
  <c r="U32" i="4" s="1"/>
  <c r="U33" i="4" s="1"/>
  <c r="U34" i="4" s="1"/>
  <c r="U35" i="4" s="1"/>
  <c r="D49" i="10"/>
  <c r="AH10" i="4"/>
  <c r="L11" i="4"/>
  <c r="AG10" i="4"/>
  <c r="C19" i="11" l="1"/>
  <c r="C20" i="11" s="1"/>
  <c r="D50" i="10"/>
  <c r="U36" i="4"/>
  <c r="U37" i="4" s="1"/>
  <c r="U38" i="4" s="1"/>
  <c r="U39" i="4" s="1"/>
  <c r="AG11" i="4"/>
  <c r="L12" i="4"/>
  <c r="AH11" i="4"/>
  <c r="AD36" i="4"/>
  <c r="AD37" i="4" s="1"/>
  <c r="AD38" i="4" s="1"/>
  <c r="AD39" i="4" s="1"/>
  <c r="D19" i="11"/>
  <c r="D20" i="11" s="1"/>
  <c r="E50" i="10"/>
  <c r="L13" i="4" l="1"/>
  <c r="AH12" i="4"/>
  <c r="AG12" i="4"/>
  <c r="D51" i="10"/>
  <c r="U40" i="4"/>
  <c r="U41" i="4" s="1"/>
  <c r="U42" i="4" s="1"/>
  <c r="E51" i="10"/>
  <c r="AD40" i="4"/>
  <c r="AD41" i="4" s="1"/>
  <c r="AD42" i="4" s="1"/>
  <c r="E52" i="10" l="1"/>
  <c r="AD43" i="4"/>
  <c r="AD44" i="4" s="1"/>
  <c r="AD45" i="4" s="1"/>
  <c r="AD46" i="4" s="1"/>
  <c r="AD47" i="4" s="1"/>
  <c r="AD48" i="4" s="1"/>
  <c r="AD49" i="4" s="1"/>
  <c r="D52" i="10"/>
  <c r="U43" i="4"/>
  <c r="U44" i="4" s="1"/>
  <c r="U45" i="4" s="1"/>
  <c r="U46" i="4" s="1"/>
  <c r="U47" i="4" s="1"/>
  <c r="U48" i="4" s="1"/>
  <c r="U49" i="4" s="1"/>
  <c r="F47" i="10"/>
  <c r="AH13" i="4"/>
  <c r="AG13" i="4"/>
  <c r="C47" i="10"/>
  <c r="L14" i="4"/>
  <c r="AH14" i="4" l="1"/>
  <c r="AG14" i="4"/>
  <c r="L15" i="4"/>
  <c r="U50" i="4"/>
  <c r="U51" i="4" s="1"/>
  <c r="U52" i="4" s="1"/>
  <c r="U53" i="4" s="1"/>
  <c r="U54" i="4" s="1"/>
  <c r="U55" i="4" s="1"/>
  <c r="D53" i="10"/>
  <c r="E53" i="10"/>
  <c r="AD50" i="4"/>
  <c r="AD51" i="4" s="1"/>
  <c r="AD52" i="4" s="1"/>
  <c r="AD53" i="4" s="1"/>
  <c r="AD54" i="4" s="1"/>
  <c r="AD55" i="4" s="1"/>
  <c r="L16" i="4" l="1"/>
  <c r="AH15" i="4"/>
  <c r="AG15" i="4"/>
  <c r="E54" i="10"/>
  <c r="W63" i="4"/>
  <c r="D15" i="11"/>
  <c r="D54" i="10"/>
  <c r="N63" i="4"/>
  <c r="C15" i="11"/>
  <c r="L17" i="4" l="1"/>
  <c r="AH16" i="4"/>
  <c r="AG16" i="4"/>
  <c r="AH17" i="4" l="1"/>
  <c r="AG17" i="4"/>
  <c r="L18" i="4"/>
  <c r="L19" i="4" l="1"/>
  <c r="AH18" i="4"/>
  <c r="AG18" i="4"/>
  <c r="F48" i="10" l="1"/>
  <c r="C48" i="10"/>
  <c r="AG19" i="4"/>
  <c r="L20" i="4"/>
  <c r="AH19" i="4"/>
  <c r="AH20" i="4" l="1"/>
  <c r="AG20" i="4"/>
  <c r="L21" i="4"/>
  <c r="L22" i="4" l="1"/>
  <c r="AH21" i="4"/>
  <c r="AG21" i="4"/>
  <c r="AH22" i="4" l="1"/>
  <c r="AG22" i="4"/>
  <c r="L23" i="4"/>
  <c r="AH23" i="4" l="1"/>
  <c r="AG23" i="4"/>
  <c r="L24" i="4"/>
  <c r="L25" i="4" l="1"/>
  <c r="AH24" i="4"/>
  <c r="AG24" i="4"/>
  <c r="AH25" i="4" l="1"/>
  <c r="AG25" i="4"/>
  <c r="L26" i="4"/>
  <c r="AH26" i="4" l="1"/>
  <c r="L27" i="4"/>
  <c r="AG26" i="4"/>
  <c r="L28" i="4" l="1"/>
  <c r="AH27" i="4"/>
  <c r="AG27" i="4"/>
  <c r="C49" i="10" l="1"/>
  <c r="AG28" i="4"/>
  <c r="L29" i="4"/>
  <c r="F49" i="10"/>
  <c r="AH28" i="4"/>
  <c r="AH29" i="4" l="1"/>
  <c r="AG29" i="4"/>
  <c r="L30" i="4"/>
  <c r="L31" i="4" l="1"/>
  <c r="AH30" i="4"/>
  <c r="AG30" i="4"/>
  <c r="AH31" i="4" l="1"/>
  <c r="AG31" i="4"/>
  <c r="L32" i="4"/>
  <c r="AH32" i="4" l="1"/>
  <c r="AG32" i="4"/>
  <c r="L33" i="4"/>
  <c r="L34" i="4" l="1"/>
  <c r="AG33" i="4"/>
  <c r="AH33" i="4"/>
  <c r="L35" i="4" l="1"/>
  <c r="AH34" i="4"/>
  <c r="AG34" i="4"/>
  <c r="AH35" i="4" l="1"/>
  <c r="F50" i="10"/>
  <c r="B19" i="11"/>
  <c r="B20" i="11" s="1"/>
  <c r="AG35" i="4"/>
  <c r="C50" i="10"/>
  <c r="L36" i="4"/>
  <c r="L37" i="4" l="1"/>
  <c r="AH36" i="4"/>
  <c r="AG36" i="4"/>
  <c r="L38" i="4" l="1"/>
  <c r="AG37" i="4"/>
  <c r="AH37" i="4"/>
  <c r="AH38" i="4" l="1"/>
  <c r="AG38" i="4"/>
  <c r="L39" i="4"/>
  <c r="F51" i="10" l="1"/>
  <c r="L40" i="4"/>
  <c r="C51" i="10"/>
  <c r="AH39" i="4"/>
  <c r="AG39" i="4"/>
  <c r="L41" i="4" l="1"/>
  <c r="AH40" i="4"/>
  <c r="AG40" i="4"/>
  <c r="AH41" i="4" l="1"/>
  <c r="L42" i="4"/>
  <c r="AG41" i="4"/>
  <c r="L43" i="4" l="1"/>
  <c r="C52" i="10"/>
  <c r="F52" i="10"/>
  <c r="AH42" i="4"/>
  <c r="AG42" i="4"/>
  <c r="AH43" i="4" l="1"/>
  <c r="L44" i="4"/>
  <c r="AG43" i="4"/>
  <c r="AH44" i="4" l="1"/>
  <c r="AG44" i="4"/>
  <c r="L45" i="4"/>
  <c r="L46" i="4" l="1"/>
  <c r="AG45" i="4"/>
  <c r="AH45" i="4"/>
  <c r="AG46" i="4" l="1"/>
  <c r="L47" i="4"/>
  <c r="AH46" i="4"/>
  <c r="AH47" i="4" l="1"/>
  <c r="AG47" i="4"/>
  <c r="L48" i="4"/>
  <c r="L49" i="4" l="1"/>
  <c r="AH48" i="4"/>
  <c r="AG48" i="4"/>
  <c r="F53" i="10" l="1"/>
  <c r="C53" i="10"/>
  <c r="L50" i="4"/>
  <c r="AH49" i="4"/>
  <c r="AG49" i="4"/>
  <c r="AH50" i="4" l="1"/>
  <c r="AG50" i="4"/>
  <c r="L51" i="4"/>
  <c r="L52" i="4" l="1"/>
  <c r="AH51" i="4"/>
  <c r="AG51" i="4"/>
  <c r="AH52" i="4" l="1"/>
  <c r="L53" i="4"/>
  <c r="AG52" i="4"/>
  <c r="AH53" i="4" l="1"/>
  <c r="AG53" i="4"/>
  <c r="L54" i="4"/>
  <c r="L55" i="4" l="1"/>
  <c r="AH54" i="4"/>
  <c r="AG54" i="4"/>
  <c r="F54" i="10" l="1"/>
  <c r="C54" i="10"/>
  <c r="E63" i="4"/>
  <c r="AE66" i="4"/>
  <c r="AE65" i="4"/>
  <c r="B15" i="11"/>
  <c r="AH55" i="4"/>
  <c r="AG5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JD Britt Financial Plan</author>
  </authors>
  <commentList>
    <comment ref="D4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Path A — Career Status
Current career phase: Active Duty, Retirement Year, PhD Student, or Research Scientist.
Phase transitions drive all formula switches in columns E through L.</t>
        </r>
      </text>
    </comment>
    <comment ref="E4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Path A — Gross Taxable Income
ACTIVE DUTY (yrs 0-7): Base Pay × (1 + military raise)^yr
  → Source: ASSUMPTIONS rows 12 (base pay), 52 (raise rate)
RETIREMENT YR (yr 8): 75% base pay + 25% pension
  → Source: ASSUMPTIONS rows 12, 21 (pension), 52
PHD (yrs 9-13): Pension(COLA)^yr + PhD stipend
  → Source: ASSUMPTIONS rows 21, 23 (COLA), 46 (stipend)
RESEARCH SCI (yr 14+): Pension(COLA)^yr + Salary × (1+growth)^yr
  → Source: ASSUMPTIONS rows 21, 23, 48 (starting sal), 51 (growth)</t>
        </r>
      </text>
    </comment>
    <comment ref="F4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Path A — Tax-Free Income
ACTIVE DUTY: BAH + BAS (housing + food allowances, not taxed)
  → Source: ASSUMPTIONS rows 13 (BAH), 14 (BAS)
RETIREMENT YR (yr 8): BAH+BAS + partial VA disability
PHD (yrs 9-13): VA disability + GI Bill BAH + GI Bill book stipend
  → Source: ASSUMPTIONS rows 33 (VA $), 34 (VA COLA), 38 (GI Bill BAH), 39 (books)
RESEARCH SCI (yr 14+): VA disability only (GI Bill exhausted after 36 months)
  → Source: ASSUMPTIONS rows 33, 34</t>
        </r>
      </text>
    </comment>
    <comment ref="G4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Path A — Federal + State Taxes
Formula: MAX((Gross - Tax-Free) × (Federal + State), 0)
ACTIVE DUTY / PhD: Military effective rate
  → ASSUMPTIONS row 64 (federal) + row 67 (CA state)
RESEARCH SCI: High-income rate (higher bracket)
  → ASSUMPTIONS row 66 (federal high) + row 67 (CA state)
See row 57 'KEY RATES' for current percentage values.</t>
        </r>
      </text>
    </comment>
    <comment ref="H4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Path A — Healthcare Cost
ACTIVE DUTY (yrs 0-7): $0 (covered on base)
RETIREMENT YR: Partial TRICARE pro-rated
POST-RETIRE (yr 9+): TRICARE Retiree annual cost × inflation^yr
  → Source: ASSUMPTIONS row 26 (TRICARE annual), row 27 (inflation rate)</t>
        </r>
      </text>
    </comment>
    <comment ref="I4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Path A — Living Expenses
All years: Monthly living expenses × 12 × (1 + growth)^yr
  → Source: ASSUMPTIONS row 70 (current monthly total from EXPENSES sheet)
            ASSUMPTIONS row 71 (annual growth rate, default 3%)
Same base used for all three paths.</t>
        </r>
      </text>
    </comment>
    <comment ref="J4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Path A — Annual Retirement Savings
ACTIVE DUTY: Monthly contribution × 12
  → Source: ASSUMPTIONS row 60 ($1,900/mo — TSP + Roth)
PHD YEARS: $0 (no contributions during school)
  → Source: ASSUMPTIONS row 62
CAREER YEARS: Monthly civilian contribution × 12
  → Source: ASSUMPTIONS row 61 ($500/mo default)</t>
        </r>
      </text>
    </comment>
    <comment ref="K4" authorId="0" shapeId="0" xr:uid="{00000000-0006-0000-0300-000008000000}">
      <text>
        <r>
          <rPr>
            <sz val="11"/>
            <color theme="1"/>
            <rFont val="Calibri"/>
            <family val="2"/>
            <charset val="1"/>
          </rPr>
          <t>Path A — Net Cash Flow
Formula: Gross + Tax-Free − Taxes − Healthcare − Living Expenses − Ret Savings
Positive = money left over after all costs.
Negative = spending more than income (common during PhD transition years).
20% of any positive CF is additionally invested (see Portfolio formula).</t>
        </r>
      </text>
    </comment>
    <comment ref="L4" authorId="0" shapeId="0" xr:uid="{00000000-0006-0000-0300-000009000000}">
      <text>
        <r>
          <rPr>
            <sz val="11"/>
            <color theme="1"/>
            <rFont val="Calibri"/>
            <family val="2"/>
            <charset val="1"/>
          </rPr>
          <t>Path A — Investment Portfolio
Formula: Prior Year Portfolio × (1 + return) + Ret Savings + MAX(Net CF, 0) × 0.2
Includes: TSP, Roth IRA, Brokerage — aggregate total.
  → Return rate: ASSUMPTIONS row 59 (default 7%)
  → Starting balance: ASSUMPTIONS row 58 (sum of current accounts)
Note: Portfolio never draws down in this model (see ASSETS sheet for withdrawal projections).</t>
        </r>
      </text>
    </comment>
    <comment ref="M4" authorId="0" shapeId="0" xr:uid="{00000000-0006-0000-0300-00000A000000}">
      <text>
        <r>
          <rPr>
            <sz val="11"/>
            <color theme="1"/>
            <rFont val="Calibri"/>
            <family val="2"/>
            <charset val="1"/>
          </rPr>
          <t>Path B — Career Status
Separate Nov 2027 → CS/Tech Job immediately.
Phase: Active Duty (yrs 0-1) then CS/Tech Job (yr 2+).</t>
        </r>
      </text>
    </comment>
    <comment ref="N4" authorId="0" shapeId="0" xr:uid="{00000000-0006-0000-0300-00000B000000}">
      <text>
        <r>
          <rPr>
            <sz val="11"/>
            <color theme="1"/>
            <rFont val="Calibri"/>
            <family val="2"/>
            <charset val="1"/>
          </rPr>
          <t>Path B — Gross Taxable Income
ACTIVE DUTY (yrs 0-1): Base Pay × (1 + military raise)^yr
  → Source: ASSUMPTIONS rows 12, 52
CS/TECH JOB (yr 2+): Starting salary × (1 + growth)^(yr-2)
  → Source: ASSUMPTIONS row 47 (CS job starting sal ~$117K), row 51 (growth 4%/yr)
No pension. No stipend. Salary grows linearly from yr 2.</t>
        </r>
      </text>
    </comment>
    <comment ref="O4" authorId="0" shapeId="0" xr:uid="{00000000-0006-0000-0300-00000C000000}">
      <text>
        <r>
          <rPr>
            <sz val="11"/>
            <color theme="1"/>
            <rFont val="Calibri"/>
            <family val="2"/>
            <charset val="1"/>
          </rPr>
          <t>Path B — Tax-Free Income
ACTIVE DUTY: BAH + BAS (same as Path A)
CS JOB (yr 2+): VA disability only
  → Source: ASSUMPTIONS rows 33 (VA monthly), 34 (VA COLA)
No GI Bill (not using for school in Path B).</t>
        </r>
      </text>
    </comment>
    <comment ref="P4" authorId="0" shapeId="0" xr:uid="{00000000-0006-0000-0300-00000D000000}">
      <text>
        <r>
          <rPr>
            <sz val="11"/>
            <color theme="1"/>
            <rFont val="Calibri"/>
            <family val="2"/>
            <charset val="1"/>
          </rPr>
          <t>Path B — Taxes
Formula: MAX((Gross - Tax-Free) × (Federal + State), 0)
ACTIVE DUTY: Military rate
  → ASSUMPTIONS rows 64 + 67
CS JOB: Civilian mid-income rate
  → ASSUMPTIONS rows 65 + 67
See row 57 'KEY RATES' for current values.</t>
        </r>
      </text>
    </comment>
    <comment ref="Q4" authorId="0" shapeId="0" xr:uid="{00000000-0006-0000-0300-00000E000000}">
      <text>
        <r>
          <rPr>
            <sz val="11"/>
            <color theme="1"/>
            <rFont val="Calibri"/>
            <family val="2"/>
            <charset val="1"/>
          </rPr>
          <t>Path B — Healthcare Cost
ACTIVE DUTY: $0
CS JOB (yr 2+): Civilian health insurance × (1 + inflation)^(yr-2)
  → Source: ASSUMPTIONS row 28 (starting $3,000/yr), row 29 (8%/yr inflation)</t>
        </r>
      </text>
    </comment>
    <comment ref="R4" authorId="0" shapeId="0" xr:uid="{00000000-0006-0000-0300-00000F000000}">
      <text>
        <r>
          <rPr>
            <sz val="11"/>
            <color theme="1"/>
            <rFont val="Calibri"/>
            <family val="2"/>
            <charset val="1"/>
          </rPr>
          <t>Path B — Living Expenses
Same formula as Path A.
→ Source: ASSUMPTIONS rows 70, 71</t>
        </r>
      </text>
    </comment>
    <comment ref="S4" authorId="0" shapeId="0" xr:uid="{00000000-0006-0000-0300-000010000000}">
      <text>
        <r>
          <rPr>
            <sz val="11"/>
            <color theme="1"/>
            <rFont val="Calibri"/>
            <family val="2"/>
            <charset val="1"/>
          </rPr>
          <t>Path B — Annual Retirement Savings
ACTIVE DUTY: $1,900/mo × 12 (TSP + Roth)
CS JOB: $500/mo × 12 (civilian 401k)
  → Source: ASSUMPTIONS rows 60, 61
Note: Employer 401k match not currently modeled.</t>
        </r>
      </text>
    </comment>
    <comment ref="T4" authorId="0" shapeId="0" xr:uid="{00000000-0006-0000-0300-000011000000}">
      <text>
        <r>
          <rPr>
            <sz val="11"/>
            <color theme="1"/>
            <rFont val="Calibri"/>
            <family val="2"/>
            <charset val="1"/>
          </rPr>
          <t>Path B — Net Cash Flow
Formula: Gross + Tax-Free − Taxes − Healthcare − Living Expenses − Ret Savings</t>
        </r>
      </text>
    </comment>
    <comment ref="U4" authorId="0" shapeId="0" xr:uid="{00000000-0006-0000-0300-000012000000}">
      <text>
        <r>
          <rPr>
            <sz val="11"/>
            <color theme="1"/>
            <rFont val="Calibri"/>
            <family val="2"/>
            <charset val="1"/>
          </rPr>
          <t>Path B — Investment Portfolio
Same formula as Path A Portfolio.
  → Return rate: ASSUMPTIONS row 59
  → Starting balance: ASSUMPTIONS row 58
Diverges from Path A over time due to different savings and cash flow profiles.</t>
        </r>
      </text>
    </comment>
    <comment ref="V4" authorId="0" shapeId="0" xr:uid="{00000000-0006-0000-0300-000013000000}">
      <text>
        <r>
          <rPr>
            <sz val="11"/>
            <color theme="1"/>
            <rFont val="Calibri"/>
            <family val="2"/>
            <charset val="1"/>
          </rPr>
          <t>Path C — Career Status
Separate Nov 2027 → Gap Year 2028 → PhD 2029-2033 → Research Scientist 2034+.
Phase transitions: Active Duty (yrs 0-1), Gap Year (yr 2), PhD (yrs 3-7), Research Sci (yr 8+).</t>
        </r>
      </text>
    </comment>
    <comment ref="W4" authorId="0" shapeId="0" xr:uid="{00000000-0006-0000-0300-000014000000}">
      <text>
        <r>
          <rPr>
            <sz val="11"/>
            <color theme="1"/>
            <rFont val="Calibri"/>
            <family val="2"/>
            <charset val="1"/>
          </rPr>
          <t>Path C — Gross Taxable Income
ACTIVE DUTY (yrs 0-1): Base Pay × (1+raise)^yr
GAP YEAR (yr 2): $0 gross (VA disability in tax-free column only)
PHD (yrs 3-7): PhD annual stipend (flat)
  → Source: ASSUMPTIONS row 46 ($47,000/yr avg)
RESEARCH SCI (yr 8+): Starting salary × (1+growth)^(yr-8)
  → Source: ASSUMPTIONS rows 48, 51</t>
        </r>
      </text>
    </comment>
    <comment ref="X4" authorId="0" shapeId="0" xr:uid="{00000000-0006-0000-0300-000015000000}">
      <text>
        <r>
          <rPr>
            <sz val="11"/>
            <color theme="1"/>
            <rFont val="Calibri"/>
            <family val="2"/>
            <charset val="1"/>
          </rPr>
          <t>Path C — Tax-Free Income
ACTIVE DUTY: BAH + BAS
GAP YEAR (yr 2): VA disability only
  → Source: ASSUMPTIONS rows 33, 34
PHD (yrs 3-7): VA disability + GI Bill BAH + GI Bill book stipend
  → Source: ASSUMPTIONS rows 33, 34, 38, 39
RESEARCH SCI (yr 8+): VA disability only
  → Source: ASSUMPTIONS rows 33, 34</t>
        </r>
      </text>
    </comment>
    <comment ref="Y4" authorId="0" shapeId="0" xr:uid="{00000000-0006-0000-0300-000016000000}">
      <text>
        <r>
          <rPr>
            <sz val="11"/>
            <color theme="1"/>
            <rFont val="Calibri"/>
            <family val="2"/>
            <charset val="1"/>
          </rPr>
          <t>Path C — Taxes
ACTIVE DUTY: Military rate
GAP YEAR: $0 (no taxable income)
PHD: Low rate on stipend (~10%)
RESEARCH SCI: High-income rate
  → Source: ASSUMPTIONS rows 64, 66, 67
See row 57 'KEY RATES' for current values.</t>
        </r>
      </text>
    </comment>
    <comment ref="Z4" authorId="0" shapeId="0" xr:uid="{00000000-0006-0000-0300-000017000000}">
      <text>
        <r>
          <rPr>
            <sz val="11"/>
            <color theme="1"/>
            <rFont val="Calibri"/>
            <family val="2"/>
            <charset val="1"/>
          </rPr>
          <t>Path C — Healthcare Cost
ACTIVE DUTY: $0
GAP YEAR (yr 2): Marketplace plan
  → Source: ASSUMPTIONS row 30 ($3,000/yr)
PHD (yrs 3-7): $0 (university-covered)
RESEARCH SCI (yr 8+): Civilian plan × (1+inflation)^(yr-2)
  → Source: ASSUMPTIONS rows 28, 29</t>
        </r>
      </text>
    </comment>
    <comment ref="AA4" authorId="0" shapeId="0" xr:uid="{00000000-0006-0000-0300-000018000000}">
      <text>
        <r>
          <rPr>
            <sz val="11"/>
            <color theme="1"/>
            <rFont val="Calibri"/>
            <family val="2"/>
            <charset val="1"/>
          </rPr>
          <t>Path C — Living Expenses
Same formula as Path A.
→ Source: ASSUMPTIONS rows 70, 71</t>
        </r>
      </text>
    </comment>
    <comment ref="AB4" authorId="0" shapeId="0" xr:uid="{00000000-0006-0000-0300-000019000000}">
      <text>
        <r>
          <rPr>
            <sz val="11"/>
            <color theme="1"/>
            <rFont val="Calibri"/>
            <family val="2"/>
            <charset val="1"/>
          </rPr>
          <t>Path C — Annual Retirement Savings
ACTIVE DUTY: $1,900/mo × 12
PHD: $0 (no contributions)
RESEARCH SCI: $500/mo × 12 (civilian 401k)
  → Source: ASSUMPTIONS rows 60, 61, 62</t>
        </r>
      </text>
    </comment>
    <comment ref="AC4" authorId="0" shapeId="0" xr:uid="{00000000-0006-0000-0300-00001A000000}">
      <text>
        <r>
          <rPr>
            <sz val="11"/>
            <color theme="1"/>
            <rFont val="Calibri"/>
            <family val="2"/>
            <charset val="1"/>
          </rPr>
          <t>Path C — Net Cash Flow
Formula: Gross + Tax-Free − Taxes − Healthcare − Living Expenses − Ret Savings</t>
        </r>
      </text>
    </comment>
    <comment ref="AD4" authorId="0" shapeId="0" xr:uid="{00000000-0006-0000-0300-00001B000000}">
      <text>
        <r>
          <rPr>
            <sz val="11"/>
            <color theme="1"/>
            <rFont val="Calibri"/>
            <family val="2"/>
            <charset val="1"/>
          </rPr>
          <t>Path C — Investment Portfolio
Same formula as Path A. Path C dips during gap year and PhD
(negative or near-zero cash flow), then accelerates from yr 8.
  → Return rate: ASSUMPTIONS row 59
  → Starting balance: ASSUMPTIONS row 58</t>
        </r>
      </text>
    </comment>
    <comment ref="AE4" authorId="0" shapeId="0" xr:uid="{00000000-0006-0000-0300-00001C000000}">
      <text>
        <r>
          <rPr>
            <sz val="11"/>
            <color theme="1"/>
            <rFont val="Calibri"/>
            <family val="2"/>
            <charset val="1"/>
          </rPr>
          <t>Comparison — Path A vs B Income Advantage
Formula: (Path A Gross + Tax-Free) − (Path B Gross + Tax-Free)
Positive = Path A total income higher that year.
Negative = Path B income higher.
Note: Path B starts higher immediately post-separation (year 2).</t>
        </r>
      </text>
    </comment>
    <comment ref="AF4" authorId="0" shapeId="0" xr:uid="{00000000-0006-0000-0300-00001D000000}">
      <text>
        <r>
          <rPr>
            <sz val="11"/>
            <color theme="1"/>
            <rFont val="Calibri"/>
            <family val="2"/>
            <charset val="1"/>
          </rPr>
          <t>Comparison — Path A vs C Income Advantage
Formula: (Path A Gross + Tax-Free) − (Path C Gross + Tax-Free)
Shows how Path A's pension and benefits compare to Path C's research career income.</t>
        </r>
      </text>
    </comment>
    <comment ref="AG4" authorId="0" shapeId="0" xr:uid="{00000000-0006-0000-0300-00001E000000}">
      <text>
        <r>
          <rPr>
            <sz val="11"/>
            <color theme="1"/>
            <rFont val="Calibri"/>
            <family val="2"/>
            <charset val="1"/>
          </rPr>
          <t>Comparison — Path A vs B Portfolio Advantage
Formula: Path A Portfolio − Path B Portfolio
Positive = Path A has more invested assets.
Negative = Path B has caught up and overtaken.
Watch for the crossover year (when Path B portfolio exceeds Path A).</t>
        </r>
      </text>
    </comment>
    <comment ref="AH4" authorId="0" shapeId="0" xr:uid="{00000000-0006-0000-0300-00001F000000}">
      <text>
        <r>
          <rPr>
            <sz val="11"/>
            <color theme="1"/>
            <rFont val="Calibri"/>
            <family val="2"/>
            <charset val="1"/>
          </rPr>
          <t>Comparison — Path A vs C Portfolio Advantage
Formula: Path A Portfolio − Path C Portfolio
Path C leads the same research scientist career as Path A but starts earlier.
Watch for the crossover year.</t>
        </r>
      </text>
    </comment>
    <comment ref="D5" authorId="0" shapeId="0" xr:uid="{00000000-0006-0000-0300-000020000000}">
      <text>
        <r>
          <rPr>
            <sz val="11"/>
            <color theme="1"/>
            <rFont val="Calibri"/>
            <family val="2"/>
            <charset val="1"/>
          </rPr>
          <t>Year 0 (2026, Age 36): Active Duty — all paths start here.
Military base pay + BAH + BAS. 12 years of service completed.</t>
        </r>
      </text>
    </comment>
    <comment ref="M5" authorId="0" shapeId="0" xr:uid="{00000000-0006-0000-0300-000021000000}">
      <text>
        <r>
          <rPr>
            <sz val="11"/>
            <color theme="1"/>
            <rFont val="Calibri"/>
            <family val="2"/>
            <charset val="1"/>
          </rPr>
          <t>Year 0 (2026, Age 36): Active Duty — Path B also starts here.
Same income as Path A until separation in Nov 2027 (year 1).</t>
        </r>
      </text>
    </comment>
    <comment ref="V5" authorId="0" shapeId="0" xr:uid="{00000000-0006-0000-0300-000022000000}">
      <text>
        <r>
          <rPr>
            <sz val="11"/>
            <color theme="1"/>
            <rFont val="Calibri"/>
            <family val="2"/>
            <charset val="1"/>
          </rPr>
          <t>Year 0 (2026, Age 36): Active Duty — Path C also starts here.</t>
        </r>
      </text>
    </comment>
    <comment ref="M6" authorId="0" shapeId="0" xr:uid="{00000000-0006-0000-0300-000023000000}">
      <text>
        <r>
          <rPr>
            <sz val="11"/>
            <color theme="1"/>
            <rFont val="Calibri"/>
            <family val="2"/>
            <charset val="1"/>
          </rPr>
          <t>Year 1 (2027, Age 37): Path B last year of active duty.
Same base pay as Path A. Separation happens Nov 2027.</t>
        </r>
      </text>
    </comment>
    <comment ref="V6" authorId="0" shapeId="0" xr:uid="{00000000-0006-0000-0300-000024000000}">
      <text>
        <r>
          <rPr>
            <sz val="11"/>
            <color theme="1"/>
            <rFont val="Calibri"/>
            <family val="2"/>
            <charset val="1"/>
          </rPr>
          <t>Year 1 (2027, Age 37): Path C last year of active duty.</t>
        </r>
      </text>
    </comment>
    <comment ref="M7" authorId="0" shapeId="0" xr:uid="{00000000-0006-0000-0300-000025000000}">
      <text>
        <r>
          <rPr>
            <sz val="11"/>
            <color theme="1"/>
            <rFont val="Calibri"/>
            <family val="2"/>
            <charset val="1"/>
          </rPr>
          <t>Year 2 (2028, Age 38): Path B CS/Tech job begins.
Starting salary: ~$117K (see ASSUMPTIONS row 47).
Civilian health insurance starts. VA disability as tax-free income.</t>
        </r>
      </text>
    </comment>
    <comment ref="V7" authorId="0" shapeId="0" xr:uid="{00000000-0006-0000-0300-000026000000}">
      <text>
        <r>
          <rPr>
            <sz val="11"/>
            <color theme="1"/>
            <rFont val="Calibri"/>
            <family val="2"/>
            <charset val="1"/>
          </rPr>
          <t>Year 2 (2028, Age 38): Path C Gap Year.
No earned income. VA disability only (~$552/mo tax-free).
Healthcare: marketplace plan ~$3K/yr. Apply to PhD programs.</t>
        </r>
      </text>
    </comment>
    <comment ref="V8" authorId="0" shapeId="0" xr:uid="{00000000-0006-0000-0300-000027000000}">
      <text>
        <r>
          <rPr>
            <sz val="11"/>
            <color theme="1"/>
            <rFont val="Calibri"/>
            <family val="2"/>
            <charset val="1"/>
          </rPr>
          <t>Year 3 (2029, Age 39): Path C PhD begins.
Stipend: ~$47K/yr + GI Bill BAH $4,992/mo + VA disability.
GI Bill is tax-free and stacks with stipend (confirmed). Lasts 36 months.</t>
        </r>
      </text>
    </comment>
    <comment ref="D13" authorId="0" shapeId="0" xr:uid="{00000000-0006-0000-0300-000028000000}">
      <text>
        <r>
          <rPr>
            <sz val="11"/>
            <color theme="1"/>
            <rFont val="Calibri"/>
            <family val="2"/>
            <charset val="1"/>
          </rPr>
          <t>Year 8 (2034, Age 44): Path A Retirement Year.
Income = 75% military pay + 25% pension (blended retirement-year formula).
Pension = $3,633/mo starting. TRICARE retiree kicks in ($182/yr).
VA disability begins. GI Bill available but not yet used.</t>
        </r>
      </text>
    </comment>
    <comment ref="D14" authorId="0" shapeId="0" xr:uid="{00000000-0006-0000-0300-000029000000}">
      <text>
        <r>
          <rPr>
            <sz val="11"/>
            <color theme="1"/>
            <rFont val="Calibri"/>
            <family val="2"/>
            <charset val="1"/>
          </rPr>
          <t>Year 9 (2035, Age 45): Path A PhD begins.
Income = Pension(COLA) + PhD stipend (~$47K/yr).
GI Bill BAH stacks with stipend (tax-free). No employer healthcare cost.
Retirement savings = $0 during PhD years.</t>
        </r>
      </text>
    </comment>
    <comment ref="D19" authorId="0" shapeId="0" xr:uid="{00000000-0006-0000-0300-00002A000000}">
      <text>
        <r>
          <rPr>
            <sz val="11"/>
            <color theme="1"/>
            <rFont val="Calibri"/>
            <family val="2"/>
            <charset val="1"/>
          </rPr>
          <t>Year 14 (2040, Age 50): Path A Research Scientist career begins.
Income = Pension(COLA) + Research Scientist salary ($220K starting, 4%/yr growth).
This is the full income phase — pension + high salary + VA disability.</t>
        </r>
      </text>
    </comment>
    <comment ref="A28" authorId="0" shapeId="0" xr:uid="{00000000-0006-0000-0300-00002B000000}">
      <text>
        <r>
          <rPr>
            <sz val="11"/>
            <color theme="1"/>
            <rFont val="Calibri"/>
            <family val="2"/>
            <charset val="1"/>
          </rPr>
          <t>Age 59 (Year 23, 2049): Approaching penalty-free access.
Age 59.5 (mid-year 2050): TSP, Roth IRA, and brokerage accounts
can be withdrawn without 10% early withdrawal penalty.
TSP traditional balance will generate RMDs starting at age 73.
See ASSETS sheet for projected account balances at this age.</t>
        </r>
      </text>
    </comment>
    <comment ref="A42" authorId="0" shapeId="0" xr:uid="{00000000-0006-0000-0300-00002C000000}">
      <text>
        <r>
          <rPr>
            <sz val="11"/>
            <color theme="1"/>
            <rFont val="Calibri"/>
            <family val="2"/>
            <charset val="1"/>
          </rPr>
          <t>Age 73 (Year 37, 2063): Required Minimum Distributions (RMDs) begin.
The IRS requires annual withdrawals from traditional TSP and 401k.
Roth IRA has no RMD requirement.
RMD amount ≈ account balance ÷ IRS life expectancy factor (~26.5 at age 73).
This becomes mandatory taxable income and is not currently modeled in PROJECTIONS.</t>
        </r>
      </text>
    </comment>
  </commentList>
</comments>
</file>

<file path=xl/sharedStrings.xml><?xml version="1.0" encoding="utf-8"?>
<sst xmlns="http://schemas.openxmlformats.org/spreadsheetml/2006/main" count="1348" uniqueCount="965">
  <si>
    <t>JD BRITT — FINANCIAL PLAN ASSUMPTIONS</t>
  </si>
  <si>
    <t xml:space="preserve">  Ivory cell = editable input (change freely)    White = formula (do not edit)    Green text = cross-sheet reference (edit on source sheet)    Underlined header = click to navigate</t>
  </si>
  <si>
    <t>Assumption</t>
  </si>
  <si>
    <t>PATH A
Military → Retire → PhD</t>
  </si>
  <si>
    <t>PATH B
Separate → CS / Tech Job</t>
  </si>
  <si>
    <t>PATH C
Separate → PhD → Research</t>
  </si>
  <si>
    <t>Source / Notes</t>
  </si>
  <si>
    <t>↳ Feeds PROJECTIONS</t>
  </si>
  <si>
    <t>⟵ Source Sheet</t>
  </si>
  <si>
    <t>SERVICE &amp; TIMELINE</t>
  </si>
  <si>
    <t>TAFMS Date (entered service)</t>
  </si>
  <si>
    <t>Feb 2014</t>
  </si>
  <si>
    <t>Resume / service records</t>
  </si>
  <si>
    <t>Current Year (base year)</t>
  </si>
  <si>
    <t>Projection start year</t>
  </si>
  <si>
    <t>Current Age (at projection start)</t>
  </si>
  <si>
    <t>Born ~1990; joined at 24 in Feb 2014</t>
  </si>
  <si>
    <t>Path A: Military Retirement Year</t>
  </si>
  <si>
    <t>N/A</t>
  </si>
  <si>
    <t>Feb 2014 + 20 yrs service = Feb 2034</t>
  </si>
  <si>
    <t>Path B/C: Separation Year</t>
  </si>
  <si>
    <t>Nov 2027 if CNODP not accepted</t>
  </si>
  <si>
    <t>Years of Active Service (at 2026)</t>
  </si>
  <si>
    <t>2026 − 2014</t>
  </si>
  <si>
    <t>CURRENT COMPENSATION SNAPSHOT  (read-only — edit values on INCOME sheet)</t>
  </si>
  <si>
    <t>Base Pay (Monthly)</t>
  </si>
  <si>
    <t>From INCOME sheet</t>
  </si>
  <si>
    <t>→ Gross Income (all paths, active duty)</t>
  </si>
  <si>
    <t>View in INCOME sheet → Base Pay row</t>
  </si>
  <si>
    <t>BAH — Housing Allowance (Monthly)</t>
  </si>
  <si>
    <t>Tax-free; from INCOME</t>
  </si>
  <si>
    <t>→ Tax-Free Income (BAH, active duty)</t>
  </si>
  <si>
    <t>View in INCOME sheet → BAH row</t>
  </si>
  <si>
    <t>BAS — Food Allowance (Monthly)</t>
  </si>
  <si>
    <t>→ Tax-Free Income (BAS, active duty)</t>
  </si>
  <si>
    <t>View in INCOME sheet → BAS row</t>
  </si>
  <si>
    <t>Gross Monthly Income (Current)</t>
  </si>
  <si>
    <t>INCOME!B97 — all income</t>
  </si>
  <si>
    <t>Info only — not projected directly</t>
  </si>
  <si>
    <t>View in INCOME sheet → Gross Total</t>
  </si>
  <si>
    <t>Net Monthly Income (Current)</t>
  </si>
  <si>
    <t>INCOME!B99 — after deductions</t>
  </si>
  <si>
    <t>View in INCOME sheet → Net Total</t>
  </si>
  <si>
    <t>MILITARY RETIREMENT &amp; PENSION  (Path A only)</t>
  </si>
  <si>
    <t>Retirement System</t>
  </si>
  <si>
    <t>High-3</t>
  </si>
  <si>
    <t>Pre-2018 entry → High-3 (not BRS)</t>
  </si>
  <si>
    <t>High-3 Avg Base Pay (est. at retirement)</t>
  </si>
  <si>
    <t>Est. E-8 avg of highest 36-mo base pay at 20 yrs (2024 tables). Source: dfas.mil</t>
  </si>
  <si>
    <t>Pension Multiplier (2.5% × 20 yrs)</t>
  </si>
  <si>
    <t>2.5% × 20 = 50%</t>
  </si>
  <si>
    <t>Monthly Pension (before tax)</t>
  </si>
  <si>
    <t>High-3 × multiplier</t>
  </si>
  <si>
    <t>→ Path A Gross Income (pension, yr 9+)</t>
  </si>
  <si>
    <t>Annual Pension</t>
  </si>
  <si>
    <t>Monthly × 12</t>
  </si>
  <si>
    <t>Pension COLA (annual increase)</t>
  </si>
  <si>
    <t>2026 COLA: 2.8%. Long-term avg ~2.5%. Source: militarypay.defense.gov</t>
  </si>
  <si>
    <t>→ Path A Gross Income (pension COLA rate)</t>
  </si>
  <si>
    <t>Pension Start Year</t>
  </si>
  <si>
    <t>Retire at 44 (entered at 24; 20 yrs service)</t>
  </si>
  <si>
    <t>HEALTHCARE COSTS</t>
  </si>
  <si>
    <t>TRICARE Retiree Annual Cost (Path A)</t>
  </si>
  <si>
    <t>2025 TRICARE Select Group A: $181.92/yr. Source: tricare.mil</t>
  </si>
  <si>
    <t>→ Path A Healthcare (TRICARE, yr 9+)</t>
  </si>
  <si>
    <t>TRICARE Annual Increase Rate (Path A)</t>
  </si>
  <si>
    <t>~3%/yr Congressional adjustment</t>
  </si>
  <si>
    <t>→ Path A Healthcare (TRICARE inflation)</t>
  </si>
  <si>
    <t>Civilian Health Insurance Annual</t>
  </si>
  <si>
    <t>Path B: employer-sponsored ~$3K OOP. Path C: PhD = university-covered ($0). Source: KFF 2025</t>
  </si>
  <si>
    <t>→ Path B Healthcare (yr 2+)
→ Path C Healthcare (yr 8+)</t>
  </si>
  <si>
    <t>Civilian Healthcare Inflation</t>
  </si>
  <si>
    <t>~8%/yr. Source: Covered California 2026 avg</t>
  </si>
  <si>
    <t>→ Path B/C Healthcare (inflation rate)</t>
  </si>
  <si>
    <t>Gap Year Health Insurance (Path C)</t>
  </si>
  <si>
    <t>Path C gap year: marketplace plan ~$3K. Source: healthcare.gov estimates</t>
  </si>
  <si>
    <t>→ Path C Healthcare (gap year only)</t>
  </si>
  <si>
    <t>VA DISABILITY &amp; BENEFITS</t>
  </si>
  <si>
    <t>Assumed VA Disability Rating</t>
  </si>
  <si>
    <t>30% conservative est. — common for 12+ yrs. Actual unknown until filed. Source: va.gov</t>
  </si>
  <si>
    <t>VA Disability Monthly Payment (2026)</t>
  </si>
  <si>
    <t>30% single, no dep: $537.42 (2025) + 2.8% COLA = $552.47. Source: va.gov</t>
  </si>
  <si>
    <t>→ Tax-Free Income: VA disability (all paths)</t>
  </si>
  <si>
    <t>VA Disability COLA (annual)</t>
  </si>
  <si>
    <t>2026 COLA: 2.8%. Source: va.gov</t>
  </si>
  <si>
    <t>→ Tax-Free Income: VA COLA rate (all paths)</t>
  </si>
  <si>
    <t>VA Disability Start Year (est.)</t>
  </si>
  <si>
    <t>Path A: at retirement. Path B/C: at separation Nov 2027 → effective 2028</t>
  </si>
  <si>
    <t>POST-9/11 GI BILL</t>
  </si>
  <si>
    <t>GI Bill Eligibility (months)</t>
  </si>
  <si>
    <t>Forever GI Bill — no expiration</t>
  </si>
  <si>
    <t>GI Bill BAH Monthly (Bay Area rate)</t>
  </si>
  <si>
    <t>Bay Area (94305): $4,992/mo. Path B: not used for school. Source: va.gov BAH calculator</t>
  </si>
  <si>
    <t>→ Tax-Free Income: GI Bill BAH
  Path A: yrs 9-13 | Path C: yrs 3-7</t>
  </si>
  <si>
    <t>GI Bill Book Stipend (annual)</t>
  </si>
  <si>
    <t>$1,000/yr for books. Path B: N/A</t>
  </si>
  <si>
    <t>→ Tax-Free Income: GI Bill books (same years as BAH)</t>
  </si>
  <si>
    <t>GI Bill Stacks with PhD Stipend?</t>
  </si>
  <si>
    <t>YES</t>
  </si>
  <si>
    <t>Universities do NOT reduce stipend for GI Bill. Source: SCO confirmation</t>
  </si>
  <si>
    <t>GI Bill Usage Timing</t>
  </si>
  <si>
    <t>Post-retire PhD (2035-2039)</t>
  </si>
  <si>
    <t>Not modeled</t>
  </si>
  <si>
    <t>PhD 2028-2032</t>
  </si>
  <si>
    <t>Path A uses after retirement; Path C uses immediately during PhD</t>
  </si>
  <si>
    <t>CAREER &amp; SALARY PROJECTIONS</t>
  </si>
  <si>
    <t>Path A — PhD Start Year</t>
  </si>
  <si>
    <t>After retirement 2034</t>
  </si>
  <si>
    <t>Path C — PhD Start Year</t>
  </si>
  <si>
    <t>Fall 2028, after gap year (Nov 2027 sep)</t>
  </si>
  <si>
    <t>PhD Duration (years)</t>
  </si>
  <si>
    <t>Standard CS/ML PhD: 4-6 yrs</t>
  </si>
  <si>
    <t>→ Gross Income: PhD stipend
  Path A: yrs 9-13 | Path C: yrs 3-7</t>
  </si>
  <si>
    <t>PhD Annual Stipend</t>
  </si>
  <si>
    <t>Avg of targets: Stanford $57K, MIT $51.2K, CMU $42.9K, Berkeley $44K, GT $40.8K → ~$47K/yr. Source: university sites</t>
  </si>
  <si>
    <t>→ Path B Gross Income: CS job salary (yr 2+)</t>
  </si>
  <si>
    <t>View in INCOME sheet → CS job column</t>
  </si>
  <si>
    <t>CS/Tech Job Annual Salary (Path B)</t>
  </si>
  <si>
    <t>From INCOME sheet — current CS job estimate ~$117K/yr. Ref: levels.fyi</t>
  </si>
  <si>
    <t>→ Path B Gross Income: CS salary (override)</t>
  </si>
  <si>
    <t>Research Scientist Starting Salary</t>
  </si>
  <si>
    <t>Conservative: Intel Labs ~$200K, DeepMind ~$264K avg, Anthropic ~$442K median. Using $220K. Source: levels.fyi</t>
  </si>
  <si>
    <t>→ Research Scientist salary
  Path A: yr 14+ | Path C: yr 8+</t>
  </si>
  <si>
    <t>Path A — Research Scientist Start Year</t>
  </si>
  <si>
    <t>After 5-yr PhD ending 2039</t>
  </si>
  <si>
    <t>Path C — Research Scientist Start Year</t>
  </si>
  <si>
    <t>After 5-yr PhD ending 2032</t>
  </si>
  <si>
    <t>Salary Growth Rate (all civilian)</t>
  </si>
  <si>
    <t>Tech median 3.3-3.7%; AI/ML roles 4-5%+. Using 4%. Source: Dice 2025</t>
  </si>
  <si>
    <t>→ Salary growth rate (all civilian phases)</t>
  </si>
  <si>
    <t>Military Annual Pay Raise</t>
  </si>
  <si>
    <t>Historical avg ~2-3%/yr</t>
  </si>
  <si>
    <t>→ Military pay raise (all paths, active duty)</t>
  </si>
  <si>
    <t>INVESTMENT &amp; SAVINGS</t>
  </si>
  <si>
    <t>Current TSP Balance</t>
  </si>
  <si>
    <t>From ASSETS sheet. All Roth.</t>
  </si>
  <si>
    <t>→ Portfolio starting balance (TSP component)</t>
  </si>
  <si>
    <t>View in ASSETS sheet → TSP row</t>
  </si>
  <si>
    <t>Current Roth IRA Balance</t>
  </si>
  <si>
    <t>From ASSETS sheet. Not yet invested.</t>
  </si>
  <si>
    <t>→ Portfolio starting balance (Roth IRA)</t>
  </si>
  <si>
    <t>View in ASSETS sheet → Roth IRA row</t>
  </si>
  <si>
    <t>Current Brokerage Balance</t>
  </si>
  <si>
    <t>From ASSETS sheet.</t>
  </si>
  <si>
    <t>→ Portfolio starting balance (Brokerage)</t>
  </si>
  <si>
    <t>View in ASSETS sheet → Brokerage row</t>
  </si>
  <si>
    <t>Current Cash (Checking + Savings)</t>
  </si>
  <si>
    <t>From ASSETS sheet</t>
  </si>
  <si>
    <t>→ Portfolio starting balance (Cash)</t>
  </si>
  <si>
    <t>View in ASSETS sheet → Cash rows</t>
  </si>
  <si>
    <t>Starting Portfolio (Total)</t>
  </si>
  <si>
    <t>Sum of investable assets</t>
  </si>
  <si>
    <t>→ Portfolio: starting total (sum of accounts)</t>
  </si>
  <si>
    <t>Investment Return Rate (nominal)</t>
  </si>
  <si>
    <t>Historical S&amp;P avg 10.4%; Vanguard 10yr forecast 3.5-5.5%. Using 7% moderate. Source: Vanguard</t>
  </si>
  <si>
    <t>→ Portfolio: annual growth rate (all paths)</t>
  </si>
  <si>
    <t>Monthly Ret. Savings — Active Duty</t>
  </si>
  <si>
    <t>Current TSP + Roth IRA monthly contribution. Verify vs actual allotment.</t>
  </si>
  <si>
    <t>→ Retirement savings: active duty rate</t>
  </si>
  <si>
    <t>Monthly Ret. Savings — Civilian / Career</t>
  </si>
  <si>
    <t>Estimated 401(k) / IRA during civilian career</t>
  </si>
  <si>
    <t>→ Retirement savings: civilian career rate</t>
  </si>
  <si>
    <t>Monthly Ret. Savings — PhD Years</t>
  </si>
  <si>
    <t>Assumes $0 savings during PhD. Roth IRA possible if stipend &gt; ~$14K. Revisit if admitted.</t>
  </si>
  <si>
    <t>→ Retirement savings: PhD years ($0)</t>
  </si>
  <si>
    <t>TAX RATES (Federal Effective + State)</t>
  </si>
  <si>
    <t>Effective Federal Tax Rate — Military</t>
  </si>
  <si>
    <t>~12% effective on taxable portion (BAH/BAS exempt). Source: IRS 2026 brackets</t>
  </si>
  <si>
    <t>→ Taxes: military federal rate (Path A)</t>
  </si>
  <si>
    <t>Effective Federal Tax Rate — Civilian (mid income)</t>
  </si>
  <si>
    <t>22% bracket for $80K-$170K (single). Source: IRS</t>
  </si>
  <si>
    <t>→ Taxes: civilian mid-income rate (B/C early)</t>
  </si>
  <si>
    <t>Effective Federal Tax Rate — High Income</t>
  </si>
  <si>
    <t>Effective ~24% marginal at $200K+. Source: IRS/Tax Foundation</t>
  </si>
  <si>
    <t>→ Taxes: high-income rate (all research sci phases)</t>
  </si>
  <si>
    <t>State Tax Rate (California)</t>
  </si>
  <si>
    <t>CA effective: 7-9% at $120K; 10-11% at $200K. Using 7% avg. Source: FTB</t>
  </si>
  <si>
    <t>→ Taxes: CA state rate (all paths)</t>
  </si>
  <si>
    <t>GENERAL ASSUMPTIONS</t>
  </si>
  <si>
    <t>Inflation Rate (CPI, annual)</t>
  </si>
  <si>
    <t>Feb 2026 CPI: 2.4%. 2025 avg: 2.6%. Long-term avg ~3%. Using 2.8%. Source: BLS</t>
  </si>
  <si>
    <t>Monthly Living Expenses (current)</t>
  </si>
  <si>
    <t>From EXPENSES sheet grand total</t>
  </si>
  <si>
    <t>→ Living Expenses: current monthly base</t>
  </si>
  <si>
    <t>View in EXPENSES sheet → Grand Total</t>
  </si>
  <si>
    <t>Living Expense Annual Growth Rate</t>
  </si>
  <si>
    <t>Bay Area CPI ~2.5%; food 4.8%. Blended ~3%. Source: BLS SF CPI</t>
  </si>
  <si>
    <t>→ Living Expenses: annual growth rate</t>
  </si>
  <si>
    <t>Life Expectancy (pension valuation)</t>
  </si>
  <si>
    <t>US male avg ~76; military retirees tend higher. Source: CDC</t>
  </si>
  <si>
    <t>CS CAREER PATH CONFIGURATION  —  Affects PROJECTIONS gross income directly</t>
  </si>
  <si>
    <t>Path B: CS/Tech Company</t>
  </si>
  <si>
    <t>GENERIC_IC</t>
  </si>
  <si>
    <t>Select a company → salary auto-updates ASSUMPTIONS!C47 and all PROJECTIONS. Options: GENERIC_IC, MSFT_SWE, GOOG_SWE, NVDA_IC, INTEL_IC, STARTUP_TECH</t>
  </si>
  <si>
    <t>→ Drives C47 (CS Salary) → PROJECTIONS Path B</t>
  </si>
  <si>
    <t>CAREER_DATA!B5:B10</t>
  </si>
  <si>
    <t>Path B: Computed Annual Base Salary</t>
  </si>
  <si>
    <t>Auto-lookup from CAREER_DATA. Override C47 directly to use a custom value.</t>
  </si>
  <si>
    <t>→ C47 references this</t>
  </si>
  <si>
    <t>CAREER_DATA Table 1, col D</t>
  </si>
  <si>
    <t>Path B: Annual RSU/Stock Comp</t>
  </si>
  <si>
    <t>Annual vesting RSU. Not counted in taxable gross — enters as non-guaranteed comp. For reference only.</t>
  </si>
  <si>
    <t>Reference only — not in PROJECTIONS gross</t>
  </si>
  <si>
    <t>CAREER_DATA Table 1, col F</t>
  </si>
  <si>
    <t>Path B: Total Comp Year 1 (Cash + RSU)</t>
  </si>
  <si>
    <t>Total comp = base + bonus + RSU. Use for realistic planning context. PROJECTIONS models base salary only.</t>
  </si>
  <si>
    <t>Reference only</t>
  </si>
  <si>
    <t>CAREER_DATA Table 1, col H</t>
  </si>
  <si>
    <t>Path B: Company Growth Rate Override</t>
  </si>
  <si>
    <t>Company-specific salary growth. Used by PROJECTIONS!B51 if overridden here. Default 4% if not overridden.</t>
  </si>
  <si>
    <t>→ Optional override for B51 (growth rate)</t>
  </si>
  <si>
    <t>CAREER_DATA Table 1, col G</t>
  </si>
  <si>
    <t>RESEARCH SCIENTIST EMPLOYER  —  Post-PhD employer affects Paths A &amp; C income projections</t>
  </si>
  <si>
    <t>Post-PhD Employer / Research Path</t>
  </si>
  <si>
    <t>CONSERVATIVE</t>
  </si>
  <si>
    <t>Applies to Paths A &amp; C after PhD. Options: CONSERVATIVE, INTEL_LABS, NEURALINK, MSFT_RESEARCH, DEEPMIND, NVDA_RESEARCH, ANTHROPIC</t>
  </si>
  <si>
    <t>→ Drives B48/D48 (RS Salary) → PROJECTIONS</t>
  </si>
  <si>
    <t>CAREER_DATA!B14:B20</t>
  </si>
  <si>
    <t>RS Employer: Computed Starting Salary</t>
  </si>
  <si>
    <t>Auto-lookup research scientist base salary. Applies to both Path A (2040+) and Path C (2034+).</t>
  </si>
  <si>
    <t>→ B48, D48 reference this</t>
  </si>
  <si>
    <t>CAREER_DATA Table 2, col D</t>
  </si>
  <si>
    <t>RS Employer: Annual RSU (reference)</t>
  </si>
  <si>
    <t>RSU reference only. Not in PROJECTIONS gross income (variable/non-guaranteed).</t>
  </si>
  <si>
    <t>CAREER_DATA Table 2, col F</t>
  </si>
  <si>
    <t>RS Employer: Total Comp Year 1 (Cash + RSU)</t>
  </si>
  <si>
    <t>Realistic total compensation at selected employer in year 1. For planning context.</t>
  </si>
  <si>
    <t>CAREER_DATA Table 2, col H</t>
  </si>
  <si>
    <t>VA DISABILITY CONFIGURATION  —  Rating drives monthly payment for all applicable paths</t>
  </si>
  <si>
    <t>VA Benefits Active</t>
  </si>
  <si>
    <t>Yes</t>
  </si>
  <si>
    <t>Yes/No per path. Default: Yes for all paths (30% current assumption). Set to No to zero out VA income for a path.</t>
  </si>
  <si>
    <t>→ B33/C33/D33 conditional on this</t>
  </si>
  <si>
    <t>VA Disability Rating %</t>
  </si>
  <si>
    <t>30%</t>
  </si>
  <si>
    <t>Select from: 0%, 10%, 20%, 30%, 40%, 50%, 60%, 70%, 80%, 90%, 100%. Drives B90 auto-lookup.</t>
  </si>
  <si>
    <t>→ B90 (monthly auto-calc) → B33/C33/D33</t>
  </si>
  <si>
    <t>VA Monthly Payment (2026 auto-lookup)</t>
  </si>
  <si>
    <t>Auto-calculates from 2026 VA rates table (CAREER_DATA Table 3). Updates when rating changes.</t>
  </si>
  <si>
    <t>→ Updates B33/C33/D33 VA monthly</t>
  </si>
  <si>
    <t>CAREER_DATA Table 3, col B</t>
  </si>
  <si>
    <t>VA COLA (annual)</t>
  </si>
  <si>
    <t>VA COLA matches pension COLA — 2.8% (2026 rate). Usually same as pension COLA annually.</t>
  </si>
  <si>
    <t>→ Mirrors B34/C34/D34</t>
  </si>
  <si>
    <t>Healthcare Eligibility at 100% Rating</t>
  </si>
  <si>
    <t>100% = free VA healthcare; 50%+ = priority group 1</t>
  </si>
  <si>
    <t>Note: 50%+ VA rating qualifies for Priority Group 1 (free VA healthcare). This reduces civilian healthcare costs for Paths B/C.</t>
  </si>
  <si>
    <t>GRAD SCHOOL CONFIGURATION  —  School selection drives stipend, BAH, and location costs</t>
  </si>
  <si>
    <t>Selected PhD Program (Paths A &amp; C)</t>
  </si>
  <si>
    <t>CUSTOM</t>
  </si>
  <si>
    <t>Select a program to auto-populate stipend, GI Bill BAH, state tax, and estimated housing. Options in SCHOOL_DATA. Set to CUSTOM to keep existing values.</t>
  </si>
  <si>
    <t>→ Drives B46/D46, B38/D38, state tax override</t>
  </si>
  <si>
    <t>SCHOOL_DATA!A5:A13</t>
  </si>
  <si>
    <t>PhD Annual Stipend (from program)</t>
  </si>
  <si>
    <t>Auto-lookup from SCHOOL_DATA. Updates ASSUMPTIONS!B46/D46 via the links below.</t>
  </si>
  <si>
    <t>→ B46/D46 reference B96 when school set</t>
  </si>
  <si>
    <t>SCHOOL_DATA col E</t>
  </si>
  <si>
    <t>GI Bill BAH Monthly (from program location)</t>
  </si>
  <si>
    <t>Location-specific GI Bill BAH. Bay Area ($4,992) vs CMU Pittsburgh ($1,400) = $43K/yr difference.</t>
  </si>
  <si>
    <t>→ B38/D38 reference B97 when school set</t>
  </si>
  <si>
    <t>SCHOOL_DATA col F</t>
  </si>
  <si>
    <t>School: State Income Tax Rate</t>
  </si>
  <si>
    <t>Location-based state tax during PhD years. WA=0%, MA=5%, CA=7%, PA=3.07%. Used in PROJECTIONS PhD phase.</t>
  </si>
  <si>
    <t>→ Reference for PhD-phase state tax</t>
  </si>
  <si>
    <t>SCHOOL_DATA col J</t>
  </si>
  <si>
    <t>School: Estimated Monthly Rent</t>
  </si>
  <si>
    <t>Estimated monthly housing for selected school location. Update EXPENSES!B10 (rent) to match.</t>
  </si>
  <si>
    <t>→ Reference for EXPENSES rent line</t>
  </si>
  <si>
    <t>SCHOOL_DATA col I</t>
  </si>
  <si>
    <t>University Health Coverage?</t>
  </si>
  <si>
    <t>Most PhD programs cover health insurance. Yes = $0 healthcare cost during PhD years.</t>
  </si>
  <si>
    <t>→ Informs PhD healthcare cost in PROJECTIONS</t>
  </si>
  <si>
    <t>SCENARIO PREVIEW  —  Auto-updates when selectors change above  (no VBA needed)</t>
  </si>
  <si>
    <t>Metric</t>
  </si>
  <si>
    <t>PATH A</t>
  </si>
  <si>
    <t>PATH B</t>
  </si>
  <si>
    <t>PATH C</t>
  </si>
  <si>
    <t>Note</t>
  </si>
  <si>
    <t>CS Salary (Year 1)</t>
  </si>
  <si>
    <t>Path B: from company selector above</t>
  </si>
  <si>
    <t>RS Salary (Year 1)</t>
  </si>
  <si>
    <t>Paths A &amp; C: from PhD employer selector</t>
  </si>
  <si>
    <t>PhD Stipend/yr</t>
  </si>
  <si>
    <t>From school selector — used during PhD years</t>
  </si>
  <si>
    <t>GI Bill BAH /mo</t>
  </si>
  <si>
    <t>Location-specific; CMU vs Bay Area = $43K/yr diff</t>
  </si>
  <si>
    <t>VA Monthly (2026)</t>
  </si>
  <si>
    <t>Based on rating selector (B89)</t>
  </si>
  <si>
    <t>PhD-Phase Annual Income (est.)</t>
  </si>
  <si>
    <t>Stipend + GI Bill BAH during PhD years</t>
  </si>
  <si>
    <t>RS Total Comp (base+bonus+RSU)</t>
  </si>
  <si>
    <t>Full TC reference — base used in PROJECTIONS</t>
  </si>
  <si>
    <t>CAREER DATA — Compensation Reference Tables</t>
  </si>
  <si>
    <t>TABLE 1 — PATH B: CS/TECH COMPANY OPTIONS  (Immediate CS career — No PhD)</t>
  </si>
  <si>
    <t>Company ID</t>
  </si>
  <si>
    <t>Display Name / Label</t>
  </si>
  <si>
    <t>Role Type</t>
  </si>
  <si>
    <t>Base Salary</t>
  </si>
  <si>
    <t>Annual Bonus
(% of base)</t>
  </si>
  <si>
    <t>Annual RSU</t>
  </si>
  <si>
    <t>Growth Rate</t>
  </si>
  <si>
    <t>Total Comp
(Year 1)</t>
  </si>
  <si>
    <t>Notes / Source</t>
  </si>
  <si>
    <t>Generic Big Tech IC</t>
  </si>
  <si>
    <t>SWE/IC L3-equiv</t>
  </si>
  <si>
    <t>Current default. Reflects typical non-PhD IC at mid-tier big tech. Source: levels.fyi 2026</t>
  </si>
  <si>
    <t>MSFT_SWE</t>
  </si>
  <si>
    <t>Microsoft SWE (L62-63)</t>
  </si>
  <si>
    <t>SWE / IC</t>
  </si>
  <si>
    <t>Source: levels.fyi 2026 median; L62-63 range $291K median TC</t>
  </si>
  <si>
    <t>GOOG_SWE</t>
  </si>
  <si>
    <t>Google SWE (L4-L5)</t>
  </si>
  <si>
    <t>Source: levels.fyi 2026; L4-L5 range $329K median TC</t>
  </si>
  <si>
    <t>NVDA_IC</t>
  </si>
  <si>
    <t>NVIDIA (IC4-IC5)</t>
  </si>
  <si>
    <t>SWE / Systems</t>
  </si>
  <si>
    <t>Source: levels.fyi 2026; IC4-5 range, median TC ~$374K. Strong AI/hardware pipeline</t>
  </si>
  <si>
    <t>INTEL_IC</t>
  </si>
  <si>
    <t>Intel (Grade 7-8)</t>
  </si>
  <si>
    <t>Systems / HW</t>
  </si>
  <si>
    <t>Source: levels.fyi 2026; Grade 7-8 range, median TC ~$211K. Intel Labs entry point</t>
  </si>
  <si>
    <t>STARTUP_TECH</t>
  </si>
  <si>
    <t>Tech Startup (funded)</t>
  </si>
  <si>
    <t>SWE / ML Eng</t>
  </si>
  <si>
    <t>Estimate: seed-to-series B startup. Equity varies widely. ±$30K on base</t>
  </si>
  <si>
    <t>TABLE 2 — POST-PhD RESEARCH SCIENTIST EMPLOYER OPTIONS  (Paths A &amp; C after PhD)</t>
  </si>
  <si>
    <t>Conservative / Default</t>
  </si>
  <si>
    <t>Research Scientist</t>
  </si>
  <si>
    <t>Default model assumption. Realistic floor for PhD-holders at established labs. Source: Internal estimate</t>
  </si>
  <si>
    <t>INTEL_LABS</t>
  </si>
  <si>
    <t>Intel Labs</t>
  </si>
  <si>
    <t>Source: levels.fyi 2026; median TC ~$274K. Neuromorphic/Loihi lab aligned with BCI goals. Intel Folsom team relevant</t>
  </si>
  <si>
    <t>NEURALINK</t>
  </si>
  <si>
    <t>Neuralink</t>
  </si>
  <si>
    <t>Research Eng./Sci.</t>
  </si>
  <si>
    <t>Source: levels.fyi 2026; total comp ~$261K. BCI-direct alignment. Equity component variable. Elon Musk risk factor</t>
  </si>
  <si>
    <t>MSFT_RESEARCH</t>
  </si>
  <si>
    <t>Microsoft Research</t>
  </si>
  <si>
    <t>Source: levels.fyi 2026; median TC ~$310K. Strong AI/ML research. MSR has BCI-adjacent work (Project Rio, etc.)</t>
  </si>
  <si>
    <t>DEEPMIND</t>
  </si>
  <si>
    <t>Google DeepMind</t>
  </si>
  <si>
    <t>Source: levels.fyi 2026; median TC ~$373K. Premier AI research lab. PhD pipeline to DeepMind strong for BCI/neuro</t>
  </si>
  <si>
    <t>NVDA_RESEARCH</t>
  </si>
  <si>
    <t>NVIDIA Research</t>
  </si>
  <si>
    <t>Source: levels.fyi 2026; median TC ~$438K. AI/ML research growing rapidly. Neuromorphics + robotics alignment</t>
  </si>
  <si>
    <t>ANTHROPIC</t>
  </si>
  <si>
    <t>Anthropic</t>
  </si>
  <si>
    <t>Source: levels.fyi 2026; median TC ~$746K (high equity). $400K base is conservative planning estimate. Alignment research</t>
  </si>
  <si>
    <t>TABLE 3 — VA DISABILITY RATES (2026, Veteran Alone, No Dependents — 2.8% COLA)</t>
  </si>
  <si>
    <t>Rating %</t>
  </si>
  <si>
    <t>Monthly 2026</t>
  </si>
  <si>
    <t>Annual 2026</t>
  </si>
  <si>
    <t>Notes</t>
  </si>
  <si>
    <t>0%</t>
  </si>
  <si>
    <t>0% rating — no compensation</t>
  </si>
  <si>
    <t>10%</t>
  </si>
  <si>
    <t>2026 rate. No increase for dependents at 10-20%</t>
  </si>
  <si>
    <t>20%</t>
  </si>
  <si>
    <t>2026 rate (estimated 2.8% COLA from 2025). Source: va.gov</t>
  </si>
  <si>
    <t>2026 confirmed rate. Source: va.gov / ASSUMPTIONS row 33</t>
  </si>
  <si>
    <t>40%</t>
  </si>
  <si>
    <t>2026 rate. Source: va.gov/disability/compensation-rates</t>
  </si>
  <si>
    <t>50%</t>
  </si>
  <si>
    <t>2026 rate. Source: va.gov</t>
  </si>
  <si>
    <t>60%</t>
  </si>
  <si>
    <t>70%</t>
  </si>
  <si>
    <t>80%</t>
  </si>
  <si>
    <t>90%</t>
  </si>
  <si>
    <t>100%</t>
  </si>
  <si>
    <t>2026 rate (P&amp;T / Total). Source: va.gov. Additional SMC may apply</t>
  </si>
  <si>
    <t>SELECTOR RANGES — These named areas are referenced by ASSUMPTIONS dropdowns</t>
  </si>
  <si>
    <t>B Company IDs (B5:B10):</t>
  </si>
  <si>
    <t>GENERIC_IC,MSFT_SWE,GOOG_SWE,NVDA_IC,INTEL_IC,STARTUP_TECH</t>
  </si>
  <si>
    <t>PhD Employer IDs (B14:B20):</t>
  </si>
  <si>
    <t>CONSERVATIVE,INTEL_LABS,NEURALINK,MSFT_RESEARCH,DEEPMIND,NVDA_RESEARCH,ANTHROPIC</t>
  </si>
  <si>
    <t>VA Rating % (A24:A34):</t>
  </si>
  <si>
    <t>0%,10%,20%,30%,40%,50%,60%,70%,80%,90%,100%</t>
  </si>
  <si>
    <t>SCHOOL DATA — PhD Program Financial Reference  (Paths A &amp; C)</t>
  </si>
  <si>
    <t>TABLE 1 — GRAD SCHOOL FINANCIAL DATA  (Stipend, GI Bill BAH, State Tax, Housing)</t>
  </si>
  <si>
    <t>Program ID</t>
  </si>
  <si>
    <t>School</t>
  </si>
  <si>
    <t>Location</t>
  </si>
  <si>
    <t>State</t>
  </si>
  <si>
    <t>Stipend/Yr</t>
  </si>
  <si>
    <t>GI Bill BAH
/Month</t>
  </si>
  <si>
    <t>GI Bill
Eligible?</t>
  </si>
  <si>
    <t>Univ Health
Covered?</t>
  </si>
  <si>
    <t>Est. Rent
/Month</t>
  </si>
  <si>
    <t>State
Tax Rate</t>
  </si>
  <si>
    <t>App Fee</t>
  </si>
  <si>
    <t>STAN-CS-PHD</t>
  </si>
  <si>
    <t>Stanford</t>
  </si>
  <si>
    <t>Stanford, CA</t>
  </si>
  <si>
    <t>CA</t>
  </si>
  <si>
    <t>Stipend ~$57K/yr (2025-26). BAH: zip 94305, $4,992/mo confirmed va.gov. Yellow Ribbon covers tuition. Source: cs.stanford.edu, va.gov</t>
  </si>
  <si>
    <t>UCB-EECS-PHD</t>
  </si>
  <si>
    <t>UC Berkeley</t>
  </si>
  <si>
    <t>Berkeley, CA</t>
  </si>
  <si>
    <t>Stipend ~$44K/yr. BAH: Berkeley same zone as Stanford ($4,992). In-state tuition waived for PhD. Source: eecs.berkeley.edu, va.gov</t>
  </si>
  <si>
    <t>MIT-EECS-PHD</t>
  </si>
  <si>
    <t>MIT</t>
  </si>
  <si>
    <t>Cambridge, MA</t>
  </si>
  <si>
    <t>MA</t>
  </si>
  <si>
    <t>Stipend $4,695/mo ($56.3K/yr). BAH: Cambridge MA zip 02139 = $3,513/mo confirmed. MA flat tax 5%. Source: eecs.mit.edu, va.gov</t>
  </si>
  <si>
    <t>CMU-SCS-PHD</t>
  </si>
  <si>
    <t>CMU</t>
  </si>
  <si>
    <t>Pittsburgh, PA</t>
  </si>
  <si>
    <t>PA</t>
  </si>
  <si>
    <t>Stipend ~$42.9K/yr. BAH: Pittsburgh zip 15213 = $1,400/mo confirmed (significant disadvantage vs Bay Area). PA flat tax 3.07%. Source: csd.cs.cmu.edu, va.gov</t>
  </si>
  <si>
    <t>UW-CSE-PHD</t>
  </si>
  <si>
    <t>UW</t>
  </si>
  <si>
    <t>Seattle, WA</t>
  </si>
  <si>
    <t>WA</t>
  </si>
  <si>
    <t>Stipend RA/TA ~$38K/yr. BAH: Seattle WA ~$3,200/mo estimated (2026). WA has NO state income tax. Source: cs.washington.edu, va.gov est.</t>
  </si>
  <si>
    <t>UCD-CS-PHD</t>
  </si>
  <si>
    <t>UC Davis</t>
  </si>
  <si>
    <t>Davis, CA</t>
  </si>
  <si>
    <t>Stipend GSR/TA ~$39.8K/yr. BAH: Davis CA zip 95616 ~$1,980/mo est. Accessible from Sacramento. Source: cs.ucdavis.edu, va.gov est.</t>
  </si>
  <si>
    <t>IST-IGPC-MD</t>
  </si>
  <si>
    <t>Science Tokyo</t>
  </si>
  <si>
    <t>Tokyo, Japan</t>
  </si>
  <si>
    <t>No</t>
  </si>
  <si>
    <t>MEXT scholarship: JPY 148,000/mo (~$1,100 USD). Not eligible for US GI Bill. State tax N/A. Source: isct.ac.jp, mext.go.jp</t>
  </si>
  <si>
    <t>CAM-CS-PHD</t>
  </si>
  <si>
    <t>Cambridge</t>
  </si>
  <si>
    <t>Cambridge, UK</t>
  </si>
  <si>
    <t>Maintenance ~GBP 19,237/yr (~$25.2K USD). Not eligible for US GI Bill. Gates Cambridge funding option. Source: cst.cam.ac.uk</t>
  </si>
  <si>
    <t>Custom / Other</t>
  </si>
  <si>
    <t>—</t>
  </si>
  <si>
    <t>Default custom option. Uses current ASSUMPTIONS values. Override stipend/BAH manually in ASSUMPTIONS rows 46 and 38.</t>
  </si>
  <si>
    <t>School IDs for dropdown (A5:A13):</t>
  </si>
  <si>
    <t>STAN-CS-PHD,UCB-EECS-PHD,MIT-EECS-PHD,CMU-SCS-PHD,UW-CSE-PHD,UCD-CS-PHD,IST-IGPC-MD,CAM-CS-PHD,CUSTOM</t>
  </si>
  <si>
    <t>JD BRITT — 50-YEAR FINANCIAL PROJECTION  |  Three Paths: Military Retirement vs. CS/Tech vs. Grad School → Research</t>
  </si>
  <si>
    <t>All projections driven by ASSUMPTIONS sheet. Pension, VA disability, and GI Bill are tax-free income. Portfolio = prior × 7% + retirement savings + 20% of positive net cash flow.</t>
  </si>
  <si>
    <t>PATH A — Military → Retire 2034 → PhD → Research Scientist</t>
  </si>
  <si>
    <t>PATH B — Separate Nov 2027 → CS / Tech Job (immediate)</t>
  </si>
  <si>
    <t>PATH C — Separate Nov 2027 → Gap Year → PhD → Research Scientist</t>
  </si>
  <si>
    <t>COMPARISON (A advantage over B and C)</t>
  </si>
  <si>
    <t>Yr
#</t>
  </si>
  <si>
    <t>Year</t>
  </si>
  <si>
    <t>Age</t>
  </si>
  <si>
    <t>A vs B
Income</t>
  </si>
  <si>
    <t>A vs C
Income</t>
  </si>
  <si>
    <t>A vs B
Portfolio</t>
  </si>
  <si>
    <t>A vs C
Portfolio</t>
  </si>
  <si>
    <t>Active Duty</t>
  </si>
  <si>
    <t>CS / Tech Job</t>
  </si>
  <si>
    <t>Gap Year</t>
  </si>
  <si>
    <t>PhD Student</t>
  </si>
  <si>
    <t>Retirement Year</t>
  </si>
  <si>
    <t>◀  Age 66  —  Standard Retirement / Social Security</t>
  </si>
  <si>
    <t>◀  Age 76  —  Extended Horizon Marker</t>
  </si>
  <si>
    <t>KEY RATES (auto-updates):</t>
  </si>
  <si>
    <t>50-YEAR TOTALS &amp; KEY METRICS</t>
  </si>
  <si>
    <t>Total Gross Income (50 yrs)</t>
  </si>
  <si>
    <t>Total Tax-Free Income</t>
  </si>
  <si>
    <t>Total Taxes Paid</t>
  </si>
  <si>
    <t>Total Healthcare Costs</t>
  </si>
  <si>
    <t>Final Portfolio Value (Year 50)</t>
  </si>
  <si>
    <t>Lifetime Pension Value (Path A)</t>
  </si>
  <si>
    <t>Portfolio Advantage: A vs B</t>
  </si>
  <si>
    <t>Portfolio Advantage: A vs C</t>
  </si>
  <si>
    <t>PROJECTION YEAR DETAIL — Select any year (D70) for a full breakdown with calculation sources</t>
  </si>
  <si>
    <t>Select Year (0–50):</t>
  </si>
  <si>
    <t>PATH A — Value</t>
  </si>
  <si>
    <t>PATH A — How Calculated</t>
  </si>
  <si>
    <t>PATH B — Value</t>
  </si>
  <si>
    <t>PATH B — How Calculated</t>
  </si>
  <si>
    <t>PATH C — Value</t>
  </si>
  <si>
    <t>PATH C — How Calculated</t>
  </si>
  <si>
    <t>Formula / Source Reference</t>
  </si>
  <si>
    <t>CAREER PHASE</t>
  </si>
  <si>
    <t>Status / Phase</t>
  </si>
  <si>
    <t>PROJECTIONS col D</t>
  </si>
  <si>
    <t>PROJECTIONS col M</t>
  </si>
  <si>
    <t>PROJECTIONS col V</t>
  </si>
  <si>
    <t>Life phase at selected year: Active Duty / PhD Student / Research Scientist / Gap Year</t>
  </si>
  <si>
    <t>INCOME SOURCES</t>
  </si>
  <si>
    <t>Gross Income</t>
  </si>
  <si>
    <t>→ ASSUMPTIONS B42-51 (salary, stipend, pension)</t>
  </si>
  <si>
    <t>→ ASSUMPTIONS C47 (CS salary)×(1+B51)^yrs</t>
  </si>
  <si>
    <t>→ ASSUMPTIONS D46 (stipend) or D48 (RS salary)</t>
  </si>
  <si>
    <t>PROJECTIONS E/N/W — taxable earned income. Military: base pay×(1+2.5%)^yr</t>
  </si>
  <si>
    <t>Tax-Free Income</t>
  </si>
  <si>
    <t>→ (B13+B14)×12 active; B33×B34^yr VA; B38×12 GI Bill</t>
  </si>
  <si>
    <t>→ C33×(1+C34)^yr ×12 VA disability after separation</t>
  </si>
  <si>
    <t>→ VA + GI Bill BAH ($D38×12) during PhD phase</t>
  </si>
  <si>
    <t>PROJECTIONS F/O/X — BAH, BAS, VA disability, GI Bill BAH (all tax-exempt)</t>
  </si>
  <si>
    <t>EXPENSES &amp; TAXES</t>
  </si>
  <si>
    <t>Taxes Paid</t>
  </si>
  <si>
    <t>→ MAX((Gross-TaxFree)×(B64+B67),0)</t>
  </si>
  <si>
    <t>→ MAX((Gross-TaxFree)×(C65+C67),0)</t>
  </si>
  <si>
    <t>→ PhD: 10% on stipend; RS: (C66+C67) on income</t>
  </si>
  <si>
    <t>PROJECTIONS G/P/Y — effective federal+state on taxable portion. ASSUMPTIONS rows 64-67</t>
  </si>
  <si>
    <t>Healthcare Cost</t>
  </si>
  <si>
    <t>→ $0 active duty; TRICARE B26×(1+B27)^yr retired</t>
  </si>
  <si>
    <t>→ C28×(1+C29)^yr civilian ($3K+8%/yr inflation)</t>
  </si>
  <si>
    <t>→ D30 gap yr; $0 PhD (university-covered); D28 RS</t>
  </si>
  <si>
    <t>PROJECTIONS H/Q/Z — ASSUMPTIONS rows 25-30 (TRICARE vs civilian vs university)</t>
  </si>
  <si>
    <t>Living Expenses</t>
  </si>
  <si>
    <t>→ ASSUMPTIONS!B70×12×(1+B71)^yr</t>
  </si>
  <si>
    <t>→ ASSUMPTIONS!B70×12×(1+B71)^yr (same base)</t>
  </si>
  <si>
    <t>PROJECTIONS I/R/AA — base from EXPENSES grand total; 3%/yr growth. ASSUMPTIONS rows 70-71</t>
  </si>
  <si>
    <t>CASH FLOW &amp; PORTFOLIO</t>
  </si>
  <si>
    <t>Retirement Savings</t>
  </si>
  <si>
    <t>→ B60×12 active; B62×12 PhD; B61×12 RS/civilian</t>
  </si>
  <si>
    <t>→ C60×12 active; C61×12 CS career</t>
  </si>
  <si>
    <t>→ D60×12 active; D62×12 PhD; D61×12 RS</t>
  </si>
  <si>
    <t>PROJECTIONS J/S/AB — ASSUMPTIONS rows 60-62 ($1,900 active, $0 PhD, $500 civilian)</t>
  </si>
  <si>
    <t>Net Cash Flow</t>
  </si>
  <si>
    <t>→ E+F-G-H-I-J = Gross+TaxFree-Tax-HC-Exp-Sav</t>
  </si>
  <si>
    <t>→ N+O-P-Q-R-S = same formula structure</t>
  </si>
  <si>
    <t>→ W+X-Y-Z-AA-AB = same formula structure</t>
  </si>
  <si>
    <t>PROJECTIONS K/T/AC — money remaining after all costs. Positive = surplus to invest</t>
  </si>
  <si>
    <t>Investment Portfolio</t>
  </si>
  <si>
    <t>→ Prior×(1+B59) + J + MAX(K,0)×0.2</t>
  </si>
  <si>
    <t>→ Prior×(1+C59) + S + MAX(T,0)×0.2</t>
  </si>
  <si>
    <t>→ Prior×(1+D59) + AB + MAX(AC,0)×0.2</t>
  </si>
  <si>
    <t>PROJECTIONS L/U/AD — 7% nominal return (B59) + ret savings + 20% of surplus CF</t>
  </si>
  <si>
    <t>PATH COMPARISON</t>
  </si>
  <si>
    <t>A vs B: Total Income Diff</t>
  </si>
  <si>
    <t>→ (E+F)-(N+O) : Path A total income minus Path B</t>
  </si>
  <si>
    <t>——</t>
  </si>
  <si>
    <t>Positive = Path A leads | Negative = Path B leads</t>
  </si>
  <si>
    <t>Both paths vs Path A</t>
  </si>
  <si>
    <t>PROJECTIONS col AE — positive means Path A earns more total (gross+tax-free) this year</t>
  </si>
  <si>
    <t>A vs B: Portfolio Diff</t>
  </si>
  <si>
    <t>→ L-U : Path A portfolio minus Path B</t>
  </si>
  <si>
    <t>Positive = Path A portfolio ahead</t>
  </si>
  <si>
    <t>Tracks pension advantage vs early CS income</t>
  </si>
  <si>
    <t>PROJECTIONS col AG</t>
  </si>
  <si>
    <t>A vs C: Total Income Diff</t>
  </si>
  <si>
    <t>→ (E+F)-(W+X) : Path A total minus Path C</t>
  </si>
  <si>
    <t>Path C has 6-yr RS career head start</t>
  </si>
  <si>
    <t>PhD timing: A starts 2040, C starts 2034</t>
  </si>
  <si>
    <t>PROJECTIONS col AF</t>
  </si>
  <si>
    <t>A vs C: Portfolio Diff</t>
  </si>
  <si>
    <t>→ L-AD : Path A portfolio minus Path C</t>
  </si>
  <si>
    <t>Pension vs earlier RS career earnings</t>
  </si>
  <si>
    <t>Path C gap yr 2028 + PhD 2029-2033</t>
  </si>
  <si>
    <t>PROJECTIONS col AH</t>
  </si>
  <si>
    <t>CHARTS — Financial Plan Visualizations</t>
  </si>
  <si>
    <t>CHART 1 — Investment Portfolio Growth (All Three Paths)</t>
  </si>
  <si>
    <t>Shows total invested assets accumulating over 50 years. All three paths start from the same base (~$114K). Path A (blue) benefits from pension supplementing investments; Path B (green) shows strong growth from early CS career; Path C (purple) shows PhD dip then strong research scientist growth. Add vertical lines at age 66 and 76 markers (rows 35 and 45).</t>
  </si>
  <si>
    <t>CHART 2 — Annual Net Cash Flow (All Three Paths)</t>
  </si>
  <si>
    <t>How much money is left each year after taxes, healthcare, expenses, and savings. Path A dips during PhD years (2035-2039) — pension + stipend is tight but positive. Path B shows strongest early cash flow from immediate CS career. Path C dips during PhD years with no pension support.</t>
  </si>
  <si>
    <t>CHART 3 — Path A vs B Cumulative Advantage</t>
  </si>
  <si>
    <t>Running lead of Path A over Path B in total cash flow. Positive = Path A is cumulatively ahead. Track whether early CS career income (Path B) eventually surpasses military pension + GI Bill benefits.</t>
  </si>
  <si>
    <t>CHART 4 — Path A vs C Cumulative Advantage</t>
  </si>
  <si>
    <t>Same delta chart comparing Path A to Path C (grad school route). Both lead to research scientist roles but Path A has pension and GI Bill stacking. Compare PhD start timing difference (2035 vs 2028).</t>
  </si>
  <si>
    <t>CHART 5 — Annual Healthcare Costs Comparison</t>
  </si>
  <si>
    <t>TRICARE retiree (~$182/yr growing slowly, Path A) vs civilian insurance (~$3,000/yr growing 8%/yr, Paths B/C). The gap widens dramatically — 50-year difference can exceed $300K.</t>
  </si>
  <si>
    <t>CHART 6 — Gross + Tax-Free Income Breakdown</t>
  </si>
  <si>
    <t>Shows the income split across all three paths. Tax-free income (BAH, VA disability, GI Bill) is a substantial portion of Path A total compensation especially during active duty and PhD years.</t>
  </si>
  <si>
    <t>HOW TO CREATE CHARTS:</t>
  </si>
  <si>
    <t>1. Select PROJECTIONS data (cols E:F for Path A, N:O for Path B, W:X for Path C + col B for years)
2. Insert → Line Chart
3. Add vertical reference lines at rows 35 (age 66, 2056) and 45 (age 76, 2066) using error bars or helper series
4. Color: Path A = Steel Blue (#2E75B6), Path B = Forest Green (#375623), Path C = Purple (#7030A0)</t>
  </si>
  <si>
    <t>FINANCIAL GOALS</t>
  </si>
  <si>
    <t>Short-Term Goals: less than 2 years</t>
  </si>
  <si>
    <t>Medium-Term Goals: between 2-5 years</t>
  </si>
  <si>
    <t>Long-Term Goals: over 5 years</t>
  </si>
  <si>
    <t>INCOME — Monthly Snapshot</t>
  </si>
  <si>
    <t>City or Zip Code</t>
  </si>
  <si>
    <t>CURRENT</t>
  </si>
  <si>
    <t>PATH B — CS / Tech</t>
  </si>
  <si>
    <t>PATH C — Grad School</t>
  </si>
  <si>
    <t>SERVICE MEMBER MONTHLY INCOME</t>
  </si>
  <si>
    <t>ENTITLEMENTS</t>
  </si>
  <si>
    <t>Monthly Base Pay</t>
  </si>
  <si>
    <t>BAH (Housing)</t>
  </si>
  <si>
    <t>BAS</t>
  </si>
  <si>
    <t>OHA</t>
  </si>
  <si>
    <t>COLA</t>
  </si>
  <si>
    <t>Special Pay</t>
  </si>
  <si>
    <t>Hazard Duty Pay</t>
  </si>
  <si>
    <t>Flight Duty Pay</t>
  </si>
  <si>
    <t>Foreign Language Pay</t>
  </si>
  <si>
    <t>Family Separation Allowance</t>
  </si>
  <si>
    <t>Other Take Home Pay</t>
  </si>
  <si>
    <t>Military Retirement Pay</t>
  </si>
  <si>
    <t>Rental Home Income</t>
  </si>
  <si>
    <t>VA Benefits</t>
  </si>
  <si>
    <t>Child Support/Alimony</t>
  </si>
  <si>
    <t>GROSS MONTHLY INCOME</t>
  </si>
  <si>
    <t>DEDUCTIONS</t>
  </si>
  <si>
    <t>FITW (Federal Income Tax Withheld)</t>
  </si>
  <si>
    <t>FICA (Social Security)</t>
  </si>
  <si>
    <t>FICA (Medicare)</t>
  </si>
  <si>
    <t>State Income Tax</t>
  </si>
  <si>
    <t>AFRH (Armed Forces Retirement Home)</t>
  </si>
  <si>
    <t>SGLI and T-SGLI</t>
  </si>
  <si>
    <t>SGLI Family/Spouse</t>
  </si>
  <si>
    <t>TSP</t>
  </si>
  <si>
    <t>SDP</t>
  </si>
  <si>
    <t>Partial Pay</t>
  </si>
  <si>
    <t>Advance Payments</t>
  </si>
  <si>
    <t>Montgomery GI Bill</t>
  </si>
  <si>
    <t>Child Support/Alimony Paid</t>
  </si>
  <si>
    <t>401K</t>
  </si>
  <si>
    <t>USER ENTERED — monthly snapshot only. Does NOT feed PROJECTIONS. Zero out if not contributing immediately at CS job start. C45=SUM(C27:C44) includes this in net income calc for the snapshot.</t>
  </si>
  <si>
    <t>NET MONTHLY INCOME</t>
  </si>
  <si>
    <t>SPOUSE MONTHLY INCOME</t>
  </si>
  <si>
    <t>Monthly Pay</t>
  </si>
  <si>
    <t>Other Take Home Pay/Second Job</t>
  </si>
  <si>
    <t>SPOUSE GROSS INCOME</t>
  </si>
  <si>
    <t>SPOUSE DEDUCTIONS</t>
  </si>
  <si>
    <t>SPOUSE NET INCOME</t>
  </si>
  <si>
    <t>TOTAL INCOME</t>
  </si>
  <si>
    <t>MONTHLY</t>
  </si>
  <si>
    <t>GROSS INCOME</t>
  </si>
  <si>
    <t>NET INCOME</t>
  </si>
  <si>
    <t>ANNUAL</t>
  </si>
  <si>
    <t>PROJECTION LOOKUP — View Any Year's Projected Values</t>
  </si>
  <si>
    <t>View Year (enter 0–50 or use dropdown):</t>
  </si>
  <si>
    <t>INCOME PROJECTIONS</t>
  </si>
  <si>
    <t>Taxable earned income for the year</t>
  </si>
  <si>
    <t>BAH, VA disability, GI Bill BAH — not taxed</t>
  </si>
  <si>
    <t>Federal + CA state effective rate on taxable income</t>
  </si>
  <si>
    <t>Path A: TRICARE ($182/yr). Path B/C: civilian ~$3K+8%/yr</t>
  </si>
  <si>
    <t>NET POSITION AT SELECTED YEAR</t>
  </si>
  <si>
    <t>Annual retirement account contributions</t>
  </si>
  <si>
    <t>Annual living expenses (3%/yr growth from current)</t>
  </si>
  <si>
    <t>Income + Tax-Free − Taxes − Healthcare − Expenses − Savings</t>
  </si>
  <si>
    <t>Cumulative invested assets at year-end</t>
  </si>
  <si>
    <t>CAREER PHASE AT SELECTED YEAR</t>
  </si>
  <si>
    <t>Path A — Status:</t>
  </si>
  <si>
    <t>Path B — Status:</t>
  </si>
  <si>
    <t>Path C — Status:</t>
  </si>
  <si>
    <t xml:space="preserve">  Tip: Change the year in B106 to explore any point in the 50-year projection. Year 0 = today. Year 8 = Path A retirement year. Year 14 = Path A Research Scientist start. Year 8 = Path C Research Scientist start.</t>
  </si>
  <si>
    <t>CELL FORMATTING LEGEND — Color coding and cell type guide for this sheet</t>
  </si>
  <si>
    <t>$  2,393</t>
  </si>
  <si>
    <t>EDITABLE INPUT — Ivory + blue. Your cell to change. Enter your actual monthly amount here.</t>
  </si>
  <si>
    <t>CALCULATED FORMULA — White + dark text. Do NOT edit directly. Auto-sums from rows above.</t>
  </si>
  <si>
    <t>CROSS-SHEET REFERENCE — White + green. Edit this on its SOURCE sheet (INCOME, ASSETS, etc.) — NOT here.</t>
  </si>
  <si>
    <t xml:space="preserve">  ─ Age 66 ─</t>
  </si>
  <si>
    <t>AGE MILESTONE ROW — Amber fill. Age 66 = Social Security / Medicare eligibility. Age 76 = extended horizon.</t>
  </si>
  <si>
    <t xml:space="preserve">  HOUSING</t>
  </si>
  <si>
    <t>SECTION HEADER — Dark fill + white bold text. Shows category total. Not editable.</t>
  </si>
  <si>
    <t xml:space="preserve">  note text</t>
  </si>
  <si>
    <t>NOTE / SECONDARY — Light gray + italic gray text. Supporting context, assumptions, or data sources.</t>
  </si>
  <si>
    <t>[nav link]</t>
  </si>
  <si>
    <t>NAVIGATION LINK — Pale blue + underlined. Click to jump to a related section or sheet.</t>
  </si>
  <si>
    <t xml:space="preserve">  ⚠ update</t>
  </si>
  <si>
    <t>NEEDS ATTENTION — Yellow background. Placeholder or estimate that needs your review and update.</t>
  </si>
  <si>
    <t>INCOME SHEET NOTE:  Base Pay / BAH / BAS → edit from DFAS/LES data.  CS Job salary → set C6 to your expected first-year base.  PhD stipend → set D6 to your accepted program's annual stipend.  Use PROJECTION LOOKUP (rows 105-126) to preview income at any future year by changing B106.</t>
  </si>
  <si>
    <t>EXPENSES — Monthly Living Costs</t>
  </si>
  <si>
    <t>CURRENT LOCATION</t>
  </si>
  <si>
    <t xml:space="preserve">POTENTIAL LOCATION </t>
  </si>
  <si>
    <t>LIVING EXPENSES</t>
  </si>
  <si>
    <t>CURRENT (Year 0)</t>
  </si>
  <si>
    <t>PATH B — CS / Tech Job</t>
  </si>
  <si>
    <t>REMARKS</t>
  </si>
  <si>
    <t>HOUSING TOTAL</t>
  </si>
  <si>
    <t>Fees/HOA Fees/Pool Fees</t>
  </si>
  <si>
    <t>Furniture/Decorations</t>
  </si>
  <si>
    <t>Home Maintenance/Repairs</t>
  </si>
  <si>
    <t>Taxes</t>
  </si>
  <si>
    <t>Rent</t>
  </si>
  <si>
    <t>KEY: GI Bill BAH ($4,992/mo Bay Area) is income, not an expense offset. This rent IS your real cost — GI Bill covers it and more. Update to match your admitted school's market rate.</t>
  </si>
  <si>
    <t>Renters Insurance</t>
  </si>
  <si>
    <t>Renters insurance ~$80/mo typical</t>
  </si>
  <si>
    <t>UTILITIES TOTAL</t>
  </si>
  <si>
    <t>Cable/Satellite</t>
  </si>
  <si>
    <t>Cell Phone/Phone Cards/Landline</t>
  </si>
  <si>
    <t>Cell phone — same as current</t>
  </si>
  <si>
    <t>Internet</t>
  </si>
  <si>
    <t>Internet ~$79/mo — university area typical</t>
  </si>
  <si>
    <t>Electricity</t>
  </si>
  <si>
    <t>Electricity ~$60/mo for 1BR apt</t>
  </si>
  <si>
    <t>Natural Gas/Propane</t>
  </si>
  <si>
    <t>Garbage</t>
  </si>
  <si>
    <t>Water/Sewage</t>
  </si>
  <si>
    <t>TRANSPORTATION TOTAL</t>
  </si>
  <si>
    <t>Gasoline</t>
  </si>
  <si>
    <t>Gasoline — reduced; most PhD students use transit near campus</t>
  </si>
  <si>
    <t>Parking</t>
  </si>
  <si>
    <t>Taxes/Registration/Licensing</t>
  </si>
  <si>
    <t>Taxi/Bus/Uber/Lyft/Train</t>
  </si>
  <si>
    <t>BART/Caltrain/bus pass ~$100-150/mo Bay Area. Many campuses subsidize.</t>
  </si>
  <si>
    <t>Vehicle Maintenance/Repairs</t>
  </si>
  <si>
    <t>Vehicle maintenance — reduced mileage</t>
  </si>
  <si>
    <t>FOOD TOTAL</t>
  </si>
  <si>
    <t>Dining out</t>
  </si>
  <si>
    <t>Dining out — Bay Area PhD student estimate</t>
  </si>
  <si>
    <t>Groceries</t>
  </si>
  <si>
    <t>Groceries — Bay Area avg ~$400/mo single person</t>
  </si>
  <si>
    <t>Lunches</t>
  </si>
  <si>
    <t>Vending Machines</t>
  </si>
  <si>
    <t>INSURANCE TOTAL</t>
  </si>
  <si>
    <t>Auto Insurance</t>
  </si>
  <si>
    <t>Auto insurance — reduced to minimum coverage if needed</t>
  </si>
  <si>
    <t>Dental Insurance</t>
  </si>
  <si>
    <t>Dental — most PhD programs include dental in health plan</t>
  </si>
  <si>
    <t>Health Insurance</t>
  </si>
  <si>
    <t>Health ins — covered by university stipend package (typical PhD benefit)</t>
  </si>
  <si>
    <t>Life Insurance</t>
  </si>
  <si>
    <t>Life insurance ~$15/mo basic term</t>
  </si>
  <si>
    <t>Renters/Home Insurance</t>
  </si>
  <si>
    <t>HEALTHCARE</t>
  </si>
  <si>
    <t>Dental</t>
  </si>
  <si>
    <t>Dental copays — minimal with university coverage</t>
  </si>
  <si>
    <t>Doctor/Hospital/Urgent Care</t>
  </si>
  <si>
    <t>Doctor/urgent care copays</t>
  </si>
  <si>
    <t>Eye Care</t>
  </si>
  <si>
    <t>Eye care annual</t>
  </si>
  <si>
    <t>Prescriptions/Medications</t>
  </si>
  <si>
    <t>CLOTHING TOTAL</t>
  </si>
  <si>
    <t>Laundry/Dry Cleaning</t>
  </si>
  <si>
    <t>New Clothing Purchase</t>
  </si>
  <si>
    <t>Clothing — academic environment, slightly higher than current</t>
  </si>
  <si>
    <t>CHILD CARE TOTAL</t>
  </si>
  <si>
    <t>Allowance</t>
  </si>
  <si>
    <t>Child Support</t>
  </si>
  <si>
    <t>Day Care</t>
  </si>
  <si>
    <t>Diapers/Wipes/Etc.</t>
  </si>
  <si>
    <t>PET CARE TOTAL</t>
  </si>
  <si>
    <t>Food/Supplies</t>
  </si>
  <si>
    <t>Veterinarian/Grooming/Boarding</t>
  </si>
  <si>
    <t>PERSONAL TOTAL</t>
  </si>
  <si>
    <t>Beauty Shop/Barber Shop/Salon</t>
  </si>
  <si>
    <t>Haircuts/barber — reduced</t>
  </si>
  <si>
    <t>Health Club/Organizational Dues</t>
  </si>
  <si>
    <t>Nails/Massage/Personal Grooming</t>
  </si>
  <si>
    <t>Personal Spending Fund</t>
  </si>
  <si>
    <t>Personal fund — keep same</t>
  </si>
  <si>
    <t>Personal Supplies</t>
  </si>
  <si>
    <t>Tobacco/Alcohol</t>
  </si>
  <si>
    <t>EDUCATION TOTAL</t>
  </si>
  <si>
    <t>Books/Supplies</t>
  </si>
  <si>
    <t>Educational Materials</t>
  </si>
  <si>
    <t>Lessons/Tutor</t>
  </si>
  <si>
    <t>LEISURE/HOBBIES/ENTERTAINMENT TOTAL</t>
  </si>
  <si>
    <t>Athletic Events/Sporting Events</t>
  </si>
  <si>
    <t>Books/Magazines</t>
  </si>
  <si>
    <t>Books/materials — supplemental to GI Bill book stipend</t>
  </si>
  <si>
    <t>Computer Products</t>
  </si>
  <si>
    <t>Concerts/Theater</t>
  </si>
  <si>
    <t>DVDs &amp; CDs</t>
  </si>
  <si>
    <t>Movie/Music Downloads</t>
  </si>
  <si>
    <t>Streaming Services</t>
  </si>
  <si>
    <t>Toys/Games</t>
  </si>
  <si>
    <t>Travel/Lodging</t>
  </si>
  <si>
    <t>Netflix, Crunchyroll, Spotify</t>
  </si>
  <si>
    <t>Streaming — same</t>
  </si>
  <si>
    <t>CHATGPT</t>
  </si>
  <si>
    <t>ChatGPT — same</t>
  </si>
  <si>
    <t>AUDIBLE</t>
  </si>
  <si>
    <t>Audible — same</t>
  </si>
  <si>
    <t>Claude</t>
  </si>
  <si>
    <t>Claude — same</t>
  </si>
  <si>
    <t>CONTRIBUTIONS TOTAL</t>
  </si>
  <si>
    <t>Charities</t>
  </si>
  <si>
    <t>Religious Donations</t>
  </si>
  <si>
    <t>GIFTS TOTAL</t>
  </si>
  <si>
    <t>Holiday/Birthday/Anniversary</t>
  </si>
  <si>
    <t>MISCELLANEOUS TOTAL</t>
  </si>
  <si>
    <t>ATM Fees/Bank Fees</t>
  </si>
  <si>
    <t>Deployment/TAD Expenses</t>
  </si>
  <si>
    <t>Membership Fees</t>
  </si>
  <si>
    <t>GRAND TOTAL</t>
  </si>
  <si>
    <t>CELL FORMATTING LEGEND — What each color and style means on this sheet</t>
  </si>
  <si>
    <t>View Year (0–50 or use dropdown):</t>
  </si>
  <si>
    <t>EXPENSE PROJECTIONS AT SELECTED YEAR</t>
  </si>
  <si>
    <t>Total Living Expenses</t>
  </si>
  <si>
    <t>Base × (1+3%)^yr — same starting point all paths</t>
  </si>
  <si>
    <t>Healthcare / Insurance</t>
  </si>
  <si>
    <t>Path A: TRICARE retiree. Path B/C: civilian plan 8%/yr inflation</t>
  </si>
  <si>
    <t>Effective federal + state on taxable income only</t>
  </si>
  <si>
    <t>All income minus all costs; positive = money left over</t>
  </si>
  <si>
    <t>Cumulative portfolio: prior × 7% + savings + 20% surplus CF</t>
  </si>
  <si>
    <t>JD BRITT — DEBT OBLIGATIONS &amp; DEBT-TO-INCOME RATIO</t>
  </si>
  <si>
    <t xml:space="preserve">  Ivory = editable input   White = calculated formula   — = not applicable</t>
  </si>
  <si>
    <t>Creditor / Description</t>
  </si>
  <si>
    <t>Monthly Payment</t>
  </si>
  <si>
    <t>Current Balance</t>
  </si>
  <si>
    <t>Interest Rate</t>
  </si>
  <si>
    <t>Payoff Date / Notes</t>
  </si>
  <si>
    <t>Projected Total Cost</t>
  </si>
  <si>
    <t>HOUSING</t>
  </si>
  <si>
    <t>Rent / Primary Home Mortgage</t>
  </si>
  <si>
    <t>Secondary Home Mortgage</t>
  </si>
  <si>
    <t>Rental Property Mortgage</t>
  </si>
  <si>
    <t>Other (Vacation / Trailer / Time-share)</t>
  </si>
  <si>
    <t>OTHER DEBT (Auto, Student Loans, Credit Cards, Personal)</t>
  </si>
  <si>
    <t>Auto Loan</t>
  </si>
  <si>
    <t>Student Loans</t>
  </si>
  <si>
    <t>Credit Card 1</t>
  </si>
  <si>
    <t>Credit Card 2</t>
  </si>
  <si>
    <t>Personal Loan</t>
  </si>
  <si>
    <t>USAA / Military Star</t>
  </si>
  <si>
    <t>Other</t>
  </si>
  <si>
    <t>OTHER DEBT TOTAL</t>
  </si>
  <si>
    <t>TOTAL MONTHLY DEBT PAYMENTS</t>
  </si>
  <si>
    <t>DEBT-TO-INCOME RATIO (DTI)</t>
  </si>
  <si>
    <t>Current</t>
  </si>
  <si>
    <t>Gross Monthly Income (from INCOME)</t>
  </si>
  <si>
    <t>Cross-referenced from INCOME sheet</t>
  </si>
  <si>
    <t>Total Monthly Debt Payments</t>
  </si>
  <si>
    <t>Sum of all housing + other debt payments</t>
  </si>
  <si>
    <t>DEBT-TO-INCOME RATIO</t>
  </si>
  <si>
    <t>Target: &lt; 36% (healthy); &lt; 43% (max for most loans)</t>
  </si>
  <si>
    <t>Total Outstanding Debt Balance</t>
  </si>
  <si>
    <t>Total current balance across all debt</t>
  </si>
  <si>
    <t>JD BRITT — ASSETS, LIABILITIES &amp; INVESTMENT PROJECTIONS</t>
  </si>
  <si>
    <t xml:space="preserve">  Ivory = editable input   White = calculated   Green text = cross-sheet ref   Hover column headers for projection notes</t>
  </si>
  <si>
    <t>LIQUID SAVINGS &amp; INVESTMENTS  (edit values below — update whenever balances change)</t>
  </si>
  <si>
    <t>Account</t>
  </si>
  <si>
    <t>Checking Accounts</t>
  </si>
  <si>
    <t>Day-to-day spending. Not invested.</t>
  </si>
  <si>
    <t>Savings Accounts</t>
  </si>
  <si>
    <t>Emergency / short-term. Target: 3-6 months expenses.</t>
  </si>
  <si>
    <t>Emergency Savings</t>
  </si>
  <si>
    <t>Keep 3-6 months liquid here if separate from savings.</t>
  </si>
  <si>
    <t>TSP (Roth)</t>
  </si>
  <si>
    <t>All Roth. ~$1,900/mo contributions. C Fund + S Fund. ★ Primary retirement vehicle.</t>
  </si>
  <si>
    <t>Certificates of Deposit (CDs)</t>
  </si>
  <si>
    <t>Currently uninvested. Consider total market ETF (VTI/FZROX).</t>
  </si>
  <si>
    <t>Cash Value of Life Insurance</t>
  </si>
  <si>
    <t>Civilian employer plan — populate at separation.</t>
  </si>
  <si>
    <t>U.S. Savings Bonds</t>
  </si>
  <si>
    <t>Money Market Accounts</t>
  </si>
  <si>
    <t>Mutual Funds</t>
  </si>
  <si>
    <t>Stocks / Bonds</t>
  </si>
  <si>
    <t>College Funds (529)</t>
  </si>
  <si>
    <t>401(k) / 403(b)</t>
  </si>
  <si>
    <t>Roth IRA</t>
  </si>
  <si>
    <t>Currently uninvested (cash). Move to index funds (VTI or equivalent) ASAP. No RMD requirement — powerful long-term.</t>
  </si>
  <si>
    <t>Brokerage Account</t>
  </si>
  <si>
    <t>Currently uninvested (cash). No contribution limit. Consider VTI/FZROX. Taxable gains but flexible.</t>
  </si>
  <si>
    <t>TOTAL LIQUID SAVINGS &amp; INVESTMENTS</t>
  </si>
  <si>
    <t>REAL ESTATE (Market Value)</t>
  </si>
  <si>
    <t>Primary Home</t>
  </si>
  <si>
    <t>Secondary Home</t>
  </si>
  <si>
    <t>Rental Property</t>
  </si>
  <si>
    <t>Other Real Estate</t>
  </si>
  <si>
    <t>PERSONAL PROPERTY</t>
  </si>
  <si>
    <t>Vehicles / Motorcycles / Boats</t>
  </si>
  <si>
    <t>Furniture</t>
  </si>
  <si>
    <t>Jewelry</t>
  </si>
  <si>
    <t>Other Personal Property</t>
  </si>
  <si>
    <t>TOTAL ASSETS</t>
  </si>
  <si>
    <t>LIABILITIES</t>
  </si>
  <si>
    <t>Total Debt (from DEBT sheet)</t>
  </si>
  <si>
    <t>NET WORTH (Assets − Liabilities)</t>
  </si>
  <si>
    <t>INVESTMENT GROWTH PROJECTIONS  (from PROJECTIONS sheet — auto-updates)</t>
  </si>
  <si>
    <t xml:space="preserve">  Portfolio column in PROJECTIONS = aggregate of all investment accounts (TSP + Roth + Brokerage + new contributions).
  Values below pull directly from PROJECTIONS. Change ASSUMPTIONS to update projections automatically.</t>
  </si>
  <si>
    <t>Milestone / Age</t>
  </si>
  <si>
    <t>Year / Date</t>
  </si>
  <si>
    <t>Path A Portfolio</t>
  </si>
  <si>
    <t>Path B Portfolio</t>
  </si>
  <si>
    <t>Path C Portfolio</t>
  </si>
  <si>
    <t>4% Annual Withdrawal
(Path A)</t>
  </si>
  <si>
    <t>Today (Age 36)</t>
  </si>
  <si>
    <t>2026 / Year 0</t>
  </si>
  <si>
    <t>Current snapshot</t>
  </si>
  <si>
    <t>Separation — B/C (Age 37)</t>
  </si>
  <si>
    <t>2027 / Year 1</t>
  </si>
  <si>
    <t>Path B/C leave service Nov 2027</t>
  </si>
  <si>
    <t>Age 40</t>
  </si>
  <si>
    <t>2030 / Year 4</t>
  </si>
  <si>
    <t>Path A Retirement (44)</t>
  </si>
  <si>
    <t>2034 / Year 8</t>
  </si>
  <si>
    <t>Path A pension begins. GI Bill available.</t>
  </si>
  <si>
    <t>Age 50</t>
  </si>
  <si>
    <t>2040 / Year 14</t>
  </si>
  <si>
    <t>Catch-up contribution eligibility begins</t>
  </si>
  <si>
    <t>Age 59 ½</t>
  </si>
  <si>
    <t>2049 / Year 23</t>
  </si>
  <si>
    <t>Penalty-free TSP/IRA access begins</t>
  </si>
  <si>
    <t>Social Security (Age 66)</t>
  </si>
  <si>
    <t>2056 / Year 30</t>
  </si>
  <si>
    <t>Early Social Security eligibility (age 62) or full (66+)</t>
  </si>
  <si>
    <t>Age 70</t>
  </si>
  <si>
    <t>2060 / Year 34</t>
  </si>
  <si>
    <t>Delayed SS maximizes monthly benefit</t>
  </si>
  <si>
    <t>RMDs Begin (Age 73)</t>
  </si>
  <si>
    <t>2063 / Year 37</t>
  </si>
  <si>
    <t>Required Minimum Distributions from TSP (traditional)</t>
  </si>
  <si>
    <t>Age 80</t>
  </si>
  <si>
    <t>2070 / Year 44</t>
  </si>
  <si>
    <t>Age 86 (Year 50)</t>
  </si>
  <si>
    <t>2076 / Year 50</t>
  </si>
  <si>
    <t>End of 50-year projection</t>
  </si>
  <si>
    <t>RETIREMENT ACCOUNT KEY FACTS</t>
  </si>
  <si>
    <t xml:space="preserve">  1.  TSP contribution limit (2024): $23,000/yr. Catch-up (age 50+): $30,500/yr.</t>
  </si>
  <si>
    <t xml:space="preserve">  2.  Roth IRA limit (2024): $7,000/yr (income limits apply). No RMDs. Tax-free growth.</t>
  </si>
  <si>
    <t xml:space="preserve">  3.  Brokerage: No contribution limit. Capital gains tax applies to withdrawals. Most flexible.</t>
  </si>
  <si>
    <t xml:space="preserve">  4.  TSP employer match: None for pre-BRS (High-3) members. BRS members receive up to 5% match.</t>
  </si>
  <si>
    <t xml:space="preserve">  5.  Penalty-free access: Age 59½ for all accounts. Age 55 at separation (TSP only, under Rule of 55).</t>
  </si>
  <si>
    <t xml:space="preserve">  6.  RMDs begin at age 73 for TSP (traditional) and 401k. Roth IRA: NO RMD.</t>
  </si>
  <si>
    <t xml:space="preserve">  7.  Safe Withdrawal Rate: 4% rule = withdraw 4% of portfolio/year in retirement (historically sustainable 30+ yrs).</t>
  </si>
  <si>
    <t xml:space="preserve">  8.  Portfolio allocation suggestion: TSP C+S funds (broad market). Roth: VTI or FZROX. Brokerage: index ETFs.</t>
  </si>
  <si>
    <t>JD BRITT — MONTHLY SUMMARY &amp; ACTION PLAN</t>
  </si>
  <si>
    <t xml:space="preserve">  All values cross-referenced from INCOME, EXPENSES, DEBT, and PROJECTIONS sheets. Do not edit directly.</t>
  </si>
  <si>
    <t>MONTHLY SNAPSHOT — CURRENT vs PROJECTED SCENARIOS</t>
  </si>
  <si>
    <t>Current (Now)</t>
  </si>
  <si>
    <t>Path B — CS Job</t>
  </si>
  <si>
    <t>Path C — Grad School</t>
  </si>
  <si>
    <t>Gross Monthly Income</t>
  </si>
  <si>
    <t>Net Monthly Income</t>
  </si>
  <si>
    <t>After all deductions</t>
  </si>
  <si>
    <t>Monthly Living Expenses</t>
  </si>
  <si>
    <t>From EXPENSES sheet</t>
  </si>
  <si>
    <t>Monthly Debt Payments</t>
  </si>
  <si>
    <t>From DEBT sheet</t>
  </si>
  <si>
    <t>Monthly Surplus / Deficit</t>
  </si>
  <si>
    <t>Net income − expenses − debt</t>
  </si>
  <si>
    <t>Debt-to-Income Ratio</t>
  </si>
  <si>
    <t>Current DTI (all paths share same debt)</t>
  </si>
  <si>
    <t>50-YEAR PROJECTION — KEY OUTCOMES (from PROJECTIONS sheet)</t>
  </si>
  <si>
    <t>Path A</t>
  </si>
  <si>
    <t>Path B</t>
  </si>
  <si>
    <t>Path C</t>
  </si>
  <si>
    <t>Final Portfolio (Year 50)</t>
  </si>
  <si>
    <t>Age 86 total invested assets</t>
  </si>
  <si>
    <t>From PROJECTIONS totals section</t>
  </si>
  <si>
    <t>Total Taxes Paid (50 yrs)</t>
  </si>
  <si>
    <t>Total Healthcare Costs (50 yr)</t>
  </si>
  <si>
    <t>Portfolio at Age 66 (yr 30)</t>
  </si>
  <si>
    <t>Pre-Social Security retirement threshold</t>
  </si>
  <si>
    <t>4% Withdrawal at Age 66</t>
  </si>
  <si>
    <t>Sustainable annual draw at age 66</t>
  </si>
  <si>
    <t>ACTION PLAN — Open Items, Gaps &amp; Sensitivities</t>
  </si>
  <si>
    <t>#</t>
  </si>
  <si>
    <t>Category</t>
  </si>
  <si>
    <t>Item</t>
  </si>
  <si>
    <t>Notes / Next Step</t>
  </si>
  <si>
    <t>VERIFY</t>
  </si>
  <si>
    <t>Verify actual pension estimate vs DFAS calculator</t>
  </si>
  <si>
    <t>Open</t>
  </si>
  <si>
    <t>Run DFAS High-3 calculator with actual service records. Update ASSUMPTIONS!B19.</t>
  </si>
  <si>
    <t>Confirm GI Bill BAH rate for target PhD program ZIP codes</t>
  </si>
  <si>
    <t>Check va.gov BAH calculator for each program ZIP. Update ASSUMPTIONS!B38 if different from Bay Area rate.</t>
  </si>
  <si>
    <t>Confirm VA disability estimate (30% assumed)</t>
  </si>
  <si>
    <t>Actual rating unknown until filed. Range: 10-50%+. Update ASSUMPTIONS!B32-B33 when known.</t>
  </si>
  <si>
    <t>Roth IRA + Brokerage: invest these funds</t>
  </si>
  <si>
    <t>MODEL GAP</t>
  </si>
  <si>
    <t>Social Security not modeled</t>
  </si>
  <si>
    <t>Both paths qualify. Path B/C longer civilian career = higher benefit. Add as income at age 62-70.</t>
  </si>
  <si>
    <t>Portfolio drawdown not modeled</t>
  </si>
  <si>
    <t>PROJECTIONS shows portfolio growing forever. Model 4% withdrawal as income at age 66+.</t>
  </si>
  <si>
    <t>RMDs (Required Minimum Distributions) not modeled</t>
  </si>
  <si>
    <t>TSP traditional account triggers RMDs at age 73. Adds taxable income. Add to PROJECTIONS yr 37+.</t>
  </si>
  <si>
    <t>TSP employer match not modeled</t>
  </si>
  <si>
    <t>Pre-BRS High-3: no automatic match. Confirm with finance. BRS members get up to 5%.</t>
  </si>
  <si>
    <t>Path B 401k employer match not modeled</t>
  </si>
  <si>
    <t>CS/Tech jobs typically match 3-6% of salary. At $117K: ~$3.5K-$7K/yr additional. Add to ASSUMPTIONS row 61.</t>
  </si>
  <si>
    <t>Housing costs not modeled in projection</t>
  </si>
  <si>
    <t>Partially modeled</t>
  </si>
  <si>
    <t>Living expenses include rent but no home ownership path. Significant wealth-building lever.</t>
  </si>
  <si>
    <t>Warrant Officer path not modeled</t>
  </si>
  <si>
    <t>Higher compensation; affects Path A timeline and pension base. Add as Path D if actively pursued.</t>
  </si>
  <si>
    <t>SENSITIVITY</t>
  </si>
  <si>
    <t>Investment return sensitivity (7% assumption)</t>
  </si>
  <si>
    <t>Review</t>
  </si>
  <si>
    <t>Conservative: 5% (Vanguard forecast). Base: 7%. Optimistic: 9%. Model all three for range.</t>
  </si>
  <si>
    <t>VA disability sensitivity</t>
  </si>
  <si>
    <t>At 10% (~$150/mo) vs 50% (~$1,200/mo) — significant range. Add low/high scenario in ASSUMPTIONS.</t>
  </si>
  <si>
    <t>TRACKING</t>
  </si>
  <si>
    <t>Salary actuals tracking — add when CS job begins</t>
  </si>
  <si>
    <t>Update INCOME!C6 with actual offer salary at hiring. Will auto-flow to ASSUMPTIONS and PROJECTIONS.</t>
  </si>
  <si>
    <t>CONCERN</t>
  </si>
  <si>
    <t>Path A PhD cash flow yr 12-13 (GI Bill exhausted)</t>
  </si>
  <si>
    <t>Flag</t>
  </si>
  <si>
    <t>After 36 months of PhD, GI Bill BAH stops. Cash flow may go slightly negative. Plan bridge funding.</t>
  </si>
  <si>
    <t>Uninvested cash sitting in Roth and brokerage. Transfer to index funds.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</si>
</sst>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;\(0.0%\);\-"/>
    <numFmt numFmtId="166" formatCode="0.0%;\(0.0%\);&quot;0.0%&quot;"/>
  </numFmts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9"/>
      <color rgb="FF6B7280"/>
      <name val="Calibri"/>
      <family val="2"/>
    </font>
    <font>
      <b/>
      <sz val="10"/>
      <color rgb="FFFFFFFF"/>
      <name val="Calibri"/>
      <family val="2"/>
    </font>
    <font>
      <sz val="10"/>
      <color rgb="FF1C1C1E"/>
      <name val="Calibri"/>
      <family val="2"/>
    </font>
    <font>
      <sz val="10"/>
      <color rgb="FF1E40AF"/>
      <name val="Calibri"/>
      <family val="2"/>
    </font>
    <font>
      <sz val="10"/>
      <color rgb="FF6B7280"/>
      <name val="Calibri"/>
      <family val="2"/>
    </font>
    <font>
      <sz val="10"/>
      <color rgb="FF15803D"/>
      <name val="Calibri"/>
      <family val="2"/>
    </font>
    <font>
      <u/>
      <sz val="9"/>
      <color rgb="FF1D3461"/>
      <name val="Calibri"/>
      <family val="2"/>
    </font>
    <font>
      <u/>
      <sz val="9"/>
      <color rgb="FF15803D"/>
      <name val="Calibri"/>
      <family val="2"/>
    </font>
    <font>
      <sz val="9"/>
      <color rgb="FF1D3461"/>
      <name val="Calibri"/>
      <family val="2"/>
    </font>
    <font>
      <sz val="9"/>
      <color rgb="FF6B7280"/>
      <name val="Calibri"/>
      <family val="2"/>
    </font>
    <font>
      <sz val="10"/>
      <color rgb="FF2C3E50"/>
      <name val="Calibri"/>
      <family val="2"/>
    </font>
    <font>
      <b/>
      <sz val="13"/>
      <color rgb="FFFFFFFF"/>
      <name val="Calibri"/>
      <family val="2"/>
    </font>
    <font>
      <b/>
      <sz val="10"/>
      <color rgb="FF1C1C1E"/>
      <name val="Calibri"/>
      <family val="2"/>
    </font>
    <font>
      <b/>
      <sz val="10"/>
      <color rgb="FF2C3E50"/>
      <name val="Calibri"/>
      <family val="2"/>
    </font>
    <font>
      <b/>
      <sz val="9"/>
      <color rgb="FF2C3E50"/>
      <name val="Calibri"/>
      <family val="2"/>
    </font>
    <font>
      <sz val="9"/>
      <color rgb="FF1E40AF"/>
      <name val="Calibri"/>
      <family val="2"/>
    </font>
    <font>
      <b/>
      <sz val="10"/>
      <color rgb="FF15803D"/>
      <name val="Calibri"/>
      <family val="2"/>
    </font>
    <font>
      <b/>
      <sz val="10"/>
      <color rgb="FFF87171"/>
      <name val="Calibri"/>
      <family val="2"/>
    </font>
    <font>
      <b/>
      <sz val="12"/>
      <color rgb="FFFFFFFF"/>
      <name val="Calibri"/>
      <family val="2"/>
    </font>
    <font>
      <b/>
      <u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92400E"/>
      <name val="Calibri"/>
      <family val="2"/>
    </font>
    <font>
      <b/>
      <sz val="9"/>
      <color rgb="FF6B7280"/>
      <name val="Calibri"/>
      <family val="2"/>
    </font>
    <font>
      <i/>
      <sz val="8"/>
      <color rgb="FF6B7280"/>
      <name val="Calibri"/>
      <family val="2"/>
    </font>
    <font>
      <b/>
      <sz val="11"/>
      <color rgb="FFFFFFFF"/>
      <name val="Calibri"/>
      <family val="2"/>
    </font>
    <font>
      <i/>
      <sz val="10"/>
      <color rgb="FF6B7280"/>
      <name val="Calibri"/>
      <family val="2"/>
    </font>
    <font>
      <b/>
      <sz val="11"/>
      <color rgb="FF2C3E50"/>
      <name val="Calibri"/>
      <family val="2"/>
    </font>
    <font>
      <b/>
      <sz val="13"/>
      <color rgb="FF1E40AF"/>
      <name val="Calibri"/>
      <family val="2"/>
    </font>
    <font>
      <i/>
      <sz val="11"/>
      <color rgb="FF6B7280"/>
      <name val="Calibri"/>
      <family val="2"/>
    </font>
    <font>
      <i/>
      <sz val="10"/>
      <color rgb="FF1D3461"/>
      <name val="Calibri"/>
      <family val="2"/>
    </font>
    <font>
      <b/>
      <sz val="10"/>
      <color rgb="FF1D3461"/>
      <name val="Calibri"/>
      <family val="2"/>
    </font>
    <font>
      <b/>
      <sz val="10"/>
      <color rgb="FF1A4731"/>
      <name val="Calibri"/>
      <family val="2"/>
    </font>
    <font>
      <b/>
      <sz val="10"/>
      <color rgb="FF3D1F5C"/>
      <name val="Calibri"/>
      <family val="2"/>
    </font>
    <font>
      <b/>
      <sz val="10"/>
      <color rgb="FF92400E"/>
      <name val="Calibri"/>
      <family val="2"/>
    </font>
    <font>
      <sz val="10"/>
      <color rgb="FF1D3461"/>
      <name val="Calibri"/>
      <family val="2"/>
    </font>
    <font>
      <sz val="10"/>
      <color rgb="FF92400E"/>
      <name val="Calibri"/>
      <family val="2"/>
    </font>
    <font>
      <sz val="9"/>
      <color rgb="FF92400E"/>
      <name val="Calibri"/>
      <family val="2"/>
    </font>
    <font>
      <sz val="9"/>
      <color rgb="FF2C3E50"/>
      <name val="Calibri"/>
      <family val="2"/>
    </font>
    <font>
      <b/>
      <sz val="10"/>
      <color rgb="FF6B7280"/>
      <name val="Calibri"/>
      <family val="2"/>
    </font>
    <font>
      <sz val="9"/>
      <color rgb="FF1C1C1E"/>
      <name val="Calibri"/>
      <family val="2"/>
    </font>
    <font>
      <b/>
      <sz val="9"/>
      <color rgb="FF1C1C1E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C2B4A"/>
        <bgColor rgb="FF1D3461"/>
      </patternFill>
    </fill>
    <fill>
      <patternFill patternType="solid">
        <fgColor rgb="FFF2F4F6"/>
        <bgColor rgb="FFF0F2F5"/>
      </patternFill>
    </fill>
    <fill>
      <patternFill patternType="solid">
        <fgColor rgb="FF1D3461"/>
        <bgColor rgb="FF1C2B4A"/>
      </patternFill>
    </fill>
    <fill>
      <patternFill patternType="solid">
        <fgColor rgb="FF1A4731"/>
        <bgColor rgb="FF2C3E50"/>
      </patternFill>
    </fill>
    <fill>
      <patternFill patternType="solid">
        <fgColor rgb="FF3D1F5C"/>
        <bgColor rgb="FF1C2B4A"/>
      </patternFill>
    </fill>
    <fill>
      <patternFill patternType="solid">
        <fgColor rgb="FF2C3E50"/>
        <bgColor rgb="FF1D3461"/>
      </patternFill>
    </fill>
    <fill>
      <patternFill patternType="solid">
        <fgColor rgb="FFF9FAFB"/>
        <bgColor rgb="FFF7F8FA"/>
      </patternFill>
    </fill>
    <fill>
      <patternFill patternType="solid">
        <fgColor rgb="FFFEFCE8"/>
        <bgColor rgb="FFF9FAFB"/>
      </patternFill>
    </fill>
    <fill>
      <patternFill patternType="solid">
        <fgColor rgb="FFEBF2FF"/>
        <bgColor rgb="FFEBF4FA"/>
      </patternFill>
    </fill>
    <fill>
      <patternFill patternType="solid">
        <fgColor rgb="FFEDF7F0"/>
        <bgColor rgb="FFEAF5EE"/>
      </patternFill>
    </fill>
    <fill>
      <patternFill patternType="solid">
        <fgColor rgb="FFEBF4FA"/>
        <bgColor rgb="FFEBF2FF"/>
      </patternFill>
    </fill>
    <fill>
      <patternFill patternType="solid">
        <fgColor rgb="FFFFFFFF"/>
        <bgColor rgb="FFF9FAFB"/>
      </patternFill>
    </fill>
    <fill>
      <patternFill patternType="solid">
        <fgColor rgb="FFEAF5EE"/>
        <bgColor rgb="FFEDF7F0"/>
      </patternFill>
    </fill>
    <fill>
      <patternFill patternType="solid">
        <fgColor rgb="FF7F7F7F"/>
        <bgColor rgb="FF6B7280"/>
      </patternFill>
    </fill>
    <fill>
      <patternFill patternType="solid">
        <fgColor rgb="FFE9EFF7"/>
        <bgColor rgb="FFEBF2FF"/>
      </patternFill>
    </fill>
    <fill>
      <patternFill patternType="solid">
        <fgColor rgb="FFF3EEF8"/>
        <bgColor rgb="FFF0F2F5"/>
      </patternFill>
    </fill>
    <fill>
      <patternFill patternType="solid">
        <fgColor rgb="FFF7F8FA"/>
        <bgColor rgb="FFF9FAFB"/>
      </patternFill>
    </fill>
    <fill>
      <patternFill patternType="solid">
        <fgColor rgb="FFFEF3C7"/>
        <bgColor rgb="FFFFF3CD"/>
      </patternFill>
    </fill>
    <fill>
      <patternFill patternType="solid">
        <fgColor rgb="FFF0F2F5"/>
        <bgColor rgb="FFF2F4F6"/>
      </patternFill>
    </fill>
    <fill>
      <patternFill patternType="solid">
        <fgColor rgb="FFD1D5DB"/>
        <bgColor rgb="FFE9EFF7"/>
      </patternFill>
    </fill>
    <fill>
      <patternFill patternType="solid">
        <fgColor rgb="FFFFF3CD"/>
        <bgColor rgb="FFFEF3C7"/>
      </patternFill>
    </fill>
    <fill>
      <patternFill patternType="solid">
        <fgColor rgb="FFFEF9C3"/>
        <bgColor rgb="FFFEF3C7"/>
      </patternFill>
    </fill>
    <fill>
      <patternFill patternType="solid">
        <fgColor rgb="FFFEE2E2"/>
        <bgColor rgb="FFF3EEF8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4" fillId="0" borderId="1" xfId="0" applyFont="1" applyBorder="1" applyAlignment="1">
      <alignment horizontal="left" vertical="center" wrapText="1"/>
    </xf>
    <xf numFmtId="0" fontId="5" fillId="9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5" fillId="9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top" wrapText="1"/>
    </xf>
    <xf numFmtId="165" fontId="5" fillId="9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5" borderId="0" xfId="0" applyFill="1"/>
    <xf numFmtId="0" fontId="12" fillId="0" borderId="1" xfId="0" applyFont="1" applyBorder="1" applyAlignment="1">
      <alignment vertical="center"/>
    </xf>
    <xf numFmtId="0" fontId="5" fillId="9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66" fontId="4" fillId="0" borderId="1" xfId="0" applyNumberFormat="1" applyFont="1" applyBorder="1" applyAlignment="1">
      <alignment horizontal="right" vertical="center"/>
    </xf>
    <xf numFmtId="0" fontId="0" fillId="4" borderId="0" xfId="0" applyFill="1"/>
    <xf numFmtId="0" fontId="0" fillId="6" borderId="0" xfId="0" applyFill="1"/>
    <xf numFmtId="166" fontId="5" fillId="9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0" fillId="7" borderId="0" xfId="0" applyFill="1"/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 indent="1"/>
    </xf>
    <xf numFmtId="164" fontId="4" fillId="13" borderId="1" xfId="0" applyNumberFormat="1" applyFont="1" applyFill="1" applyBorder="1" applyAlignment="1">
      <alignment horizontal="right" vertical="center"/>
    </xf>
    <xf numFmtId="164" fontId="4" fillId="14" borderId="1" xfId="0" applyNumberFormat="1" applyFont="1" applyFill="1" applyBorder="1" applyAlignment="1">
      <alignment horizontal="right" vertical="center"/>
    </xf>
    <xf numFmtId="166" fontId="4" fillId="14" borderId="1" xfId="0" applyNumberFormat="1" applyFont="1" applyFill="1" applyBorder="1" applyAlignment="1">
      <alignment horizontal="right" vertical="center"/>
    </xf>
    <xf numFmtId="164" fontId="14" fillId="14" borderId="1" xfId="0" applyNumberFormat="1" applyFont="1" applyFill="1" applyBorder="1" applyAlignment="1">
      <alignment horizontal="right" vertical="center"/>
    </xf>
    <xf numFmtId="166" fontId="4" fillId="13" borderId="1" xfId="0" applyNumberFormat="1" applyFont="1" applyFill="1" applyBorder="1" applyAlignment="1">
      <alignment horizontal="right" vertical="center"/>
    </xf>
    <xf numFmtId="164" fontId="14" fillId="13" borderId="1" xfId="0" applyNumberFormat="1" applyFont="1" applyFill="1" applyBorder="1" applyAlignment="1">
      <alignment horizontal="right" vertical="center"/>
    </xf>
    <xf numFmtId="164" fontId="4" fillId="12" borderId="1" xfId="0" applyNumberFormat="1" applyFont="1" applyFill="1" applyBorder="1" applyAlignment="1">
      <alignment horizontal="right" vertical="center"/>
    </xf>
    <xf numFmtId="166" fontId="4" fillId="12" borderId="1" xfId="0" applyNumberFormat="1" applyFont="1" applyFill="1" applyBorder="1" applyAlignment="1">
      <alignment horizontal="right" vertical="center"/>
    </xf>
    <xf numFmtId="164" fontId="14" fillId="12" borderId="1" xfId="0" applyNumberFormat="1" applyFont="1" applyFill="1" applyBorder="1" applyAlignment="1">
      <alignment horizontal="right" vertical="center"/>
    </xf>
    <xf numFmtId="9" fontId="15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9" fontId="15" fillId="13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2" fillId="12" borderId="1" xfId="0" applyFont="1" applyFill="1" applyBorder="1" applyAlignment="1">
      <alignment vertical="center"/>
    </xf>
    <xf numFmtId="0" fontId="18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/>
    </xf>
    <xf numFmtId="0" fontId="18" fillId="13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1" fontId="4" fillId="16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164" fontId="4" fillId="17" borderId="1" xfId="0" applyNumberFormat="1" applyFont="1" applyFill="1" applyBorder="1" applyAlignment="1">
      <alignment horizontal="right" vertical="center"/>
    </xf>
    <xf numFmtId="164" fontId="4" fillId="18" borderId="1" xfId="0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19" borderId="1" xfId="0" applyFont="1" applyFill="1" applyBorder="1" applyAlignment="1">
      <alignment horizontal="center" vertical="center" wrapText="1"/>
    </xf>
    <xf numFmtId="1" fontId="14" fillId="19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/>
    </xf>
    <xf numFmtId="164" fontId="14" fillId="19" borderId="1" xfId="0" applyNumberFormat="1" applyFont="1" applyFill="1" applyBorder="1" applyAlignment="1">
      <alignment horizontal="right" vertical="center"/>
    </xf>
    <xf numFmtId="0" fontId="23" fillId="19" borderId="0" xfId="0" applyFont="1" applyFill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0" fillId="20" borderId="1" xfId="0" applyFill="1" applyBorder="1"/>
    <xf numFmtId="0" fontId="25" fillId="20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164" fontId="27" fillId="1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" fontId="29" fillId="9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vertical="center" indent="2"/>
    </xf>
    <xf numFmtId="0" fontId="13" fillId="2" borderId="0" xfId="0" applyFont="1" applyFill="1" applyAlignment="1">
      <alignment horizontal="left" vertical="center" wrapText="1"/>
    </xf>
    <xf numFmtId="0" fontId="3" fillId="4" borderId="1" xfId="0" applyFont="1" applyFill="1" applyBorder="1"/>
    <xf numFmtId="0" fontId="4" fillId="18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/>
    <xf numFmtId="0" fontId="16" fillId="18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15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15" fillId="18" borderId="1" xfId="0" applyFont="1" applyFill="1" applyBorder="1" applyAlignment="1">
      <alignment horizontal="left" vertical="center"/>
    </xf>
    <xf numFmtId="164" fontId="14" fillId="3" borderId="1" xfId="0" applyNumberFormat="1" applyFont="1" applyFill="1" applyBorder="1" applyAlignment="1">
      <alignment horizontal="right" vertical="center"/>
    </xf>
    <xf numFmtId="0" fontId="0" fillId="21" borderId="1" xfId="0" applyFill="1" applyBorder="1"/>
    <xf numFmtId="0" fontId="2" fillId="13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15" fillId="0" borderId="1" xfId="0" applyFont="1" applyBorder="1" applyAlignment="1">
      <alignment horizontal="left" vertical="center"/>
    </xf>
    <xf numFmtId="1" fontId="5" fillId="9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left" vertical="top" wrapText="1"/>
    </xf>
    <xf numFmtId="0" fontId="1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left" vertical="center" wrapText="1"/>
    </xf>
    <xf numFmtId="0" fontId="33" fillId="14" borderId="1" xfId="0" applyFont="1" applyFill="1" applyBorder="1" applyAlignment="1">
      <alignment horizontal="left" vertical="center"/>
    </xf>
    <xf numFmtId="0" fontId="34" fillId="17" borderId="1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 wrapText="1"/>
    </xf>
    <xf numFmtId="165" fontId="4" fillId="13" borderId="1" xfId="0" applyNumberFormat="1" applyFont="1" applyFill="1" applyBorder="1" applyAlignment="1">
      <alignment horizontal="right" vertical="center"/>
    </xf>
    <xf numFmtId="0" fontId="38" fillId="13" borderId="0" xfId="0" applyFont="1" applyFill="1" applyAlignment="1">
      <alignment horizontal="left" vertical="center"/>
    </xf>
    <xf numFmtId="0" fontId="39" fillId="13" borderId="0" xfId="0" applyFont="1" applyFill="1" applyAlignment="1">
      <alignment horizontal="left" vertical="center" wrapText="1"/>
    </xf>
    <xf numFmtId="0" fontId="0" fillId="13" borderId="0" xfId="0" applyFill="1"/>
    <xf numFmtId="0" fontId="39" fillId="13" borderId="0" xfId="0" applyFont="1" applyFill="1" applyAlignment="1">
      <alignment horizontal="left" vertical="center"/>
    </xf>
    <xf numFmtId="0" fontId="34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left" vertical="center" wrapText="1"/>
    </xf>
    <xf numFmtId="164" fontId="5" fillId="13" borderId="1" xfId="0" applyNumberFormat="1" applyFont="1" applyFill="1" applyBorder="1" applyAlignment="1">
      <alignment horizontal="right" vertical="center"/>
    </xf>
    <xf numFmtId="165" fontId="5" fillId="13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right" vertical="center"/>
    </xf>
    <xf numFmtId="164" fontId="14" fillId="18" borderId="1" xfId="0" applyNumberFormat="1" applyFont="1" applyFill="1" applyBorder="1" applyAlignment="1">
      <alignment horizontal="right" vertical="center"/>
    </xf>
    <xf numFmtId="0" fontId="12" fillId="17" borderId="1" xfId="0" applyFont="1" applyFill="1" applyBorder="1" applyAlignment="1">
      <alignment horizontal="left" vertical="center" wrapText="1"/>
    </xf>
    <xf numFmtId="164" fontId="5" fillId="17" borderId="1" xfId="0" applyNumberFormat="1" applyFont="1" applyFill="1" applyBorder="1" applyAlignment="1">
      <alignment horizontal="right" vertical="center"/>
    </xf>
    <xf numFmtId="165" fontId="5" fillId="17" borderId="1" xfId="0" applyNumberFormat="1" applyFont="1" applyFill="1" applyBorder="1" applyAlignment="1">
      <alignment horizontal="right" vertical="center"/>
    </xf>
    <xf numFmtId="0" fontId="5" fillId="17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12" fillId="18" borderId="1" xfId="0" applyFont="1" applyFill="1" applyBorder="1" applyAlignment="1">
      <alignment horizontal="left" vertical="center" wrapText="1"/>
    </xf>
    <xf numFmtId="165" fontId="14" fillId="18" borderId="1" xfId="0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0" fontId="15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 wrapText="1"/>
    </xf>
    <xf numFmtId="164" fontId="5" fillId="18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7" fillId="18" borderId="1" xfId="0" applyNumberFormat="1" applyFont="1" applyFill="1" applyBorder="1" applyAlignment="1">
      <alignment horizontal="right" vertical="center"/>
    </xf>
    <xf numFmtId="164" fontId="7" fillId="12" borderId="1" xfId="0" applyNumberFormat="1" applyFont="1" applyFill="1" applyBorder="1" applyAlignment="1">
      <alignment horizontal="right" vertical="center"/>
    </xf>
    <xf numFmtId="164" fontId="7" fillId="13" borderId="1" xfId="0" applyNumberFormat="1" applyFont="1" applyFill="1" applyBorder="1" applyAlignment="1">
      <alignment horizontal="right" vertical="center"/>
    </xf>
    <xf numFmtId="165" fontId="18" fillId="13" borderId="1" xfId="0" applyNumberFormat="1" applyFont="1" applyFill="1" applyBorder="1" applyAlignment="1">
      <alignment horizontal="right" vertical="center"/>
    </xf>
    <xf numFmtId="0" fontId="40" fillId="18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0" fontId="42" fillId="23" borderId="1" xfId="0" applyFont="1" applyFill="1" applyBorder="1" applyAlignment="1">
      <alignment horizontal="center" vertical="center" wrapText="1"/>
    </xf>
    <xf numFmtId="0" fontId="42" fillId="19" borderId="1" xfId="0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center" vertical="center" wrapText="1"/>
    </xf>
    <xf numFmtId="0" fontId="42" fillId="2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1" fillId="18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13" fillId="2" borderId="0" xfId="0" applyFont="1" applyFill="1" applyAlignment="1">
      <alignment horizontal="left" vertical="center" wrapText="1"/>
    </xf>
    <xf numFmtId="0" fontId="0" fillId="0" borderId="0" xfId="0"/>
    <xf numFmtId="0" fontId="41" fillId="1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indent="1"/>
    </xf>
    <xf numFmtId="0" fontId="22" fillId="6" borderId="1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/>
    </xf>
    <xf numFmtId="0" fontId="31" fillId="10" borderId="0" xfId="0" applyFont="1" applyFill="1" applyAlignment="1">
      <alignment vertical="center" indent="1"/>
    </xf>
    <xf numFmtId="0" fontId="20" fillId="2" borderId="0" xfId="0" applyFont="1" applyFill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left" vertical="center" indent="1"/>
    </xf>
    <xf numFmtId="0" fontId="15" fillId="12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inden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 wrapText="1" indent="1"/>
    </xf>
    <xf numFmtId="0" fontId="3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 wrapText="1" indent="1"/>
    </xf>
    <xf numFmtId="0" fontId="6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5" fillId="19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34" fillId="17" borderId="1" xfId="0" applyFont="1" applyFill="1" applyBorder="1" applyAlignment="1">
      <alignment horizontal="left" vertical="center" wrapText="1"/>
    </xf>
    <xf numFmtId="164" fontId="7" fillId="13" borderId="1" xfId="0" applyNumberFormat="1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indent="1"/>
    </xf>
    <xf numFmtId="0" fontId="32" fillId="0" borderId="1" xfId="0" applyFont="1" applyBorder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 indent="1"/>
    </xf>
    <xf numFmtId="0" fontId="12" fillId="13" borderId="1" xfId="0" applyFont="1" applyFill="1" applyBorder="1" applyAlignment="1">
      <alignment vertical="center" wrapText="1" indent="1"/>
    </xf>
    <xf numFmtId="0" fontId="2" fillId="13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39" fillId="1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9" fillId="13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2" fillId="3" borderId="0" xfId="0" applyFont="1" applyFill="1" applyAlignment="1">
      <alignment horizontal="left" vertical="top" wrapText="1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15803D"/>
      <rgbColor rgb="FF1C2B4A"/>
      <rgbColor rgb="FF808000"/>
      <rgbColor rgb="FF800080"/>
      <rgbColor rgb="FF008080"/>
      <rgbColor rgb="FFE9EFF7"/>
      <rgbColor rgb="FF7F7F7F"/>
      <rgbColor rgb="FFF2F4F6"/>
      <rgbColor rgb="FF993366"/>
      <rgbColor rgb="FFFEF9C3"/>
      <rgbColor rgb="FFEAF5EE"/>
      <rgbColor rgb="FF3D1F5C"/>
      <rgbColor rgb="FFF87171"/>
      <rgbColor rgb="FF0066CC"/>
      <rgbColor rgb="FFD1D5DB"/>
      <rgbColor rgb="FF000080"/>
      <rgbColor rgb="FFFF00FF"/>
      <rgbColor rgb="FFFEFCE8"/>
      <rgbColor rgb="FF00FFFF"/>
      <rgbColor rgb="FF800080"/>
      <rgbColor rgb="FF800000"/>
      <rgbColor rgb="FF008080"/>
      <rgbColor rgb="FF0000FF"/>
      <rgbColor rgb="FF00CCFF"/>
      <rgbColor rgb="FFEBF4FA"/>
      <rgbColor rgb="FFEDF7F0"/>
      <rgbColor rgb="FFFEF3C7"/>
      <rgbColor rgb="FFEBF2FF"/>
      <rgbColor rgb="FFF3EEF8"/>
      <rgbColor rgb="FFF0F2F5"/>
      <rgbColor rgb="FFFEE2E2"/>
      <rgbColor rgb="FF3366FF"/>
      <rgbColor rgb="FF33CCCC"/>
      <rgbColor rgb="FF99CC00"/>
      <rgbColor rgb="FFF7F8FA"/>
      <rgbColor rgb="FFFF9900"/>
      <rgbColor rgb="FFFF6600"/>
      <rgbColor rgb="FF6B7280"/>
      <rgbColor rgb="FFF9FAFB"/>
      <rgbColor rgb="FF1D3461"/>
      <rgbColor rgb="FF339966"/>
      <rgbColor rgb="FF1A4731"/>
      <rgbColor rgb="FF1C1C1E"/>
      <rgbColor rgb="FF92400E"/>
      <rgbColor rgb="FF993366"/>
      <rgbColor rgb="FF1E40AF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zoomScaleNormal="10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H1" sqref="H1"/>
    </sheetView>
  </sheetViews>
  <sheetFormatPr baseColWidth="10" defaultColWidth="8.6640625" defaultRowHeight="15" customHeight="1" x14ac:dyDescent="0.2"/>
  <cols>
    <col min="1" max="1" width="36" customWidth="1"/>
    <col min="2" max="4" width="18" customWidth="1"/>
    <col min="5" max="5" width="44" customWidth="1"/>
    <col min="6" max="6" width="52" customWidth="1"/>
    <col min="7" max="7" width="28" customWidth="1"/>
  </cols>
  <sheetData>
    <row r="1" spans="1:7" ht="31.5" customHeight="1" x14ac:dyDescent="0.2">
      <c r="A1" s="181" t="s">
        <v>0</v>
      </c>
      <c r="B1" s="173"/>
      <c r="C1" s="173"/>
      <c r="D1" s="173"/>
      <c r="E1" s="173"/>
    </row>
    <row r="2" spans="1:7" ht="18" customHeight="1" x14ac:dyDescent="0.2">
      <c r="A2" s="175" t="s">
        <v>1</v>
      </c>
      <c r="B2" s="173"/>
      <c r="C2" s="173"/>
      <c r="D2" s="173"/>
      <c r="E2" s="173"/>
      <c r="F2" s="173"/>
      <c r="G2" s="173"/>
    </row>
    <row r="3" spans="1:7" ht="45" x14ac:dyDescent="0.2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5" t="s">
        <v>7</v>
      </c>
      <c r="G3" s="5" t="s">
        <v>8</v>
      </c>
    </row>
    <row r="4" spans="1:7" ht="18" customHeight="1" x14ac:dyDescent="0.2">
      <c r="A4" s="179" t="s">
        <v>9</v>
      </c>
      <c r="B4" s="177"/>
      <c r="C4" s="177"/>
      <c r="D4" s="177"/>
      <c r="E4" s="178"/>
      <c r="F4" s="6"/>
      <c r="G4" s="6"/>
    </row>
    <row r="5" spans="1:7" ht="18" customHeight="1" x14ac:dyDescent="0.2">
      <c r="A5" s="7" t="s">
        <v>10</v>
      </c>
      <c r="B5" s="8" t="s">
        <v>11</v>
      </c>
      <c r="C5" s="8" t="s">
        <v>11</v>
      </c>
      <c r="D5" s="8" t="s">
        <v>11</v>
      </c>
      <c r="E5" s="9" t="s">
        <v>12</v>
      </c>
      <c r="F5" s="6"/>
      <c r="G5" s="6"/>
    </row>
    <row r="6" spans="1:7" ht="18" customHeight="1" x14ac:dyDescent="0.2">
      <c r="A6" s="7" t="s">
        <v>13</v>
      </c>
      <c r="B6" s="8">
        <v>2026</v>
      </c>
      <c r="C6" s="8">
        <v>2026</v>
      </c>
      <c r="D6" s="8">
        <v>2026</v>
      </c>
      <c r="E6" s="9" t="s">
        <v>14</v>
      </c>
      <c r="F6" s="6"/>
      <c r="G6" s="6"/>
    </row>
    <row r="7" spans="1:7" ht="18" customHeight="1" x14ac:dyDescent="0.2">
      <c r="A7" s="7" t="s">
        <v>15</v>
      </c>
      <c r="B7" s="8">
        <v>36</v>
      </c>
      <c r="C7" s="8">
        <v>36</v>
      </c>
      <c r="D7" s="8">
        <v>36</v>
      </c>
      <c r="E7" s="9" t="s">
        <v>16</v>
      </c>
      <c r="F7" s="6"/>
      <c r="G7" s="6"/>
    </row>
    <row r="8" spans="1:7" ht="18" customHeight="1" x14ac:dyDescent="0.2">
      <c r="A8" s="7" t="s">
        <v>17</v>
      </c>
      <c r="B8" s="8">
        <v>2034</v>
      </c>
      <c r="C8" s="10" t="s">
        <v>18</v>
      </c>
      <c r="D8" s="10" t="s">
        <v>18</v>
      </c>
      <c r="E8" s="9" t="s">
        <v>19</v>
      </c>
      <c r="F8" s="6"/>
      <c r="G8" s="6"/>
    </row>
    <row r="9" spans="1:7" ht="18" customHeight="1" x14ac:dyDescent="0.2">
      <c r="A9" s="7" t="s">
        <v>20</v>
      </c>
      <c r="B9" s="10" t="s">
        <v>18</v>
      </c>
      <c r="C9" s="8">
        <v>2027</v>
      </c>
      <c r="D9" s="8">
        <v>2027</v>
      </c>
      <c r="E9" s="9" t="s">
        <v>21</v>
      </c>
      <c r="F9" s="6"/>
      <c r="G9" s="6"/>
    </row>
    <row r="10" spans="1:7" ht="18" customHeight="1" x14ac:dyDescent="0.2">
      <c r="A10" s="7" t="s">
        <v>22</v>
      </c>
      <c r="B10" s="8">
        <v>12.1</v>
      </c>
      <c r="C10" s="8">
        <v>12.1</v>
      </c>
      <c r="D10" s="8">
        <v>12.1</v>
      </c>
      <c r="E10" s="9" t="s">
        <v>23</v>
      </c>
      <c r="F10" s="6"/>
      <c r="G10" s="6"/>
    </row>
    <row r="11" spans="1:7" ht="18" customHeight="1" x14ac:dyDescent="0.2">
      <c r="A11" s="179" t="s">
        <v>24</v>
      </c>
      <c r="B11" s="177"/>
      <c r="C11" s="177"/>
      <c r="D11" s="177"/>
      <c r="E11" s="178"/>
      <c r="F11" s="6"/>
      <c r="G11" s="6"/>
    </row>
    <row r="12" spans="1:7" ht="21.75" customHeight="1" x14ac:dyDescent="0.2">
      <c r="A12" s="7" t="s">
        <v>25</v>
      </c>
      <c r="B12" s="11">
        <f>INCOME!B6</f>
        <v>5591.66</v>
      </c>
      <c r="C12" s="11">
        <f>INCOME!B6</f>
        <v>5591.66</v>
      </c>
      <c r="D12" s="11">
        <f>INCOME!B6</f>
        <v>5591.66</v>
      </c>
      <c r="E12" s="9" t="s">
        <v>26</v>
      </c>
      <c r="F12" s="12" t="s">
        <v>27</v>
      </c>
      <c r="G12" s="13" t="s">
        <v>28</v>
      </c>
    </row>
    <row r="13" spans="1:7" ht="21.75" customHeight="1" x14ac:dyDescent="0.2">
      <c r="A13" s="7" t="s">
        <v>29</v>
      </c>
      <c r="B13" s="11">
        <f>INCOME!B7</f>
        <v>2741.66</v>
      </c>
      <c r="C13" s="11">
        <f>INCOME!B7</f>
        <v>2741.66</v>
      </c>
      <c r="D13" s="11">
        <f>INCOME!B7</f>
        <v>2741.66</v>
      </c>
      <c r="E13" s="9" t="s">
        <v>30</v>
      </c>
      <c r="F13" s="12" t="s">
        <v>31</v>
      </c>
      <c r="G13" s="13" t="s">
        <v>32</v>
      </c>
    </row>
    <row r="14" spans="1:7" ht="21.75" customHeight="1" x14ac:dyDescent="0.2">
      <c r="A14" s="7" t="s">
        <v>33</v>
      </c>
      <c r="B14" s="11">
        <f>INCOME!B8</f>
        <v>477</v>
      </c>
      <c r="C14" s="11">
        <f>INCOME!B8</f>
        <v>477</v>
      </c>
      <c r="D14" s="11">
        <f>INCOME!B8</f>
        <v>477</v>
      </c>
      <c r="E14" s="9" t="s">
        <v>30</v>
      </c>
      <c r="F14" s="12" t="s">
        <v>34</v>
      </c>
      <c r="G14" s="13" t="s">
        <v>35</v>
      </c>
    </row>
    <row r="15" spans="1:7" ht="21.75" customHeight="1" x14ac:dyDescent="0.2">
      <c r="A15" s="7" t="s">
        <v>36</v>
      </c>
      <c r="B15" s="11">
        <f>INCOME!B97</f>
        <v>8810.32</v>
      </c>
      <c r="C15" s="11">
        <f>INCOME!B97</f>
        <v>8810.32</v>
      </c>
      <c r="D15" s="11">
        <f>INCOME!B97</f>
        <v>8810.32</v>
      </c>
      <c r="E15" s="9" t="s">
        <v>37</v>
      </c>
      <c r="F15" s="14" t="s">
        <v>38</v>
      </c>
      <c r="G15" s="13" t="s">
        <v>39</v>
      </c>
    </row>
    <row r="16" spans="1:7" ht="21.75" customHeight="1" x14ac:dyDescent="0.2">
      <c r="A16" s="7" t="s">
        <v>40</v>
      </c>
      <c r="B16" s="11">
        <f>INCOME!B99</f>
        <v>7720.37</v>
      </c>
      <c r="C16" s="11">
        <f>INCOME!B99</f>
        <v>7720.37</v>
      </c>
      <c r="D16" s="11">
        <f>INCOME!B99</f>
        <v>7720.37</v>
      </c>
      <c r="E16" s="9" t="s">
        <v>41</v>
      </c>
      <c r="F16" s="14" t="s">
        <v>38</v>
      </c>
      <c r="G16" s="13" t="s">
        <v>42</v>
      </c>
    </row>
    <row r="17" spans="1:7" ht="18" customHeight="1" x14ac:dyDescent="0.2">
      <c r="A17" s="184" t="s">
        <v>43</v>
      </c>
      <c r="B17" s="177"/>
      <c r="C17" s="177"/>
      <c r="D17" s="177"/>
      <c r="E17" s="178"/>
      <c r="F17" s="6"/>
      <c r="G17" s="6"/>
    </row>
    <row r="18" spans="1:7" ht="18" customHeight="1" x14ac:dyDescent="0.2">
      <c r="A18" s="7" t="s">
        <v>44</v>
      </c>
      <c r="B18" s="8" t="s">
        <v>45</v>
      </c>
      <c r="C18" s="10" t="s">
        <v>18</v>
      </c>
      <c r="D18" s="10" t="s">
        <v>18</v>
      </c>
      <c r="E18" s="9" t="s">
        <v>46</v>
      </c>
      <c r="F18" s="6"/>
      <c r="G18" s="6"/>
    </row>
    <row r="19" spans="1:7" ht="18" customHeight="1" x14ac:dyDescent="0.2">
      <c r="A19" s="7" t="s">
        <v>47</v>
      </c>
      <c r="B19" s="16">
        <v>7266</v>
      </c>
      <c r="C19" s="16">
        <v>0</v>
      </c>
      <c r="D19" s="16">
        <v>0</v>
      </c>
      <c r="E19" s="9" t="s">
        <v>48</v>
      </c>
      <c r="F19" s="6"/>
      <c r="G19" s="6"/>
    </row>
    <row r="20" spans="1:7" ht="18" customHeight="1" x14ac:dyDescent="0.2">
      <c r="A20" s="7" t="s">
        <v>49</v>
      </c>
      <c r="B20" s="17">
        <v>0.5</v>
      </c>
      <c r="C20" s="17">
        <v>0</v>
      </c>
      <c r="D20" s="17">
        <v>0</v>
      </c>
      <c r="E20" s="9" t="s">
        <v>50</v>
      </c>
      <c r="F20" s="6"/>
      <c r="G20" s="6"/>
    </row>
    <row r="21" spans="1:7" ht="21.75" customHeight="1" x14ac:dyDescent="0.2">
      <c r="A21" s="7" t="s">
        <v>51</v>
      </c>
      <c r="B21" s="18">
        <f>B19*B20</f>
        <v>3633</v>
      </c>
      <c r="C21" s="18">
        <v>0</v>
      </c>
      <c r="D21" s="18">
        <v>0</v>
      </c>
      <c r="E21" s="9" t="s">
        <v>52</v>
      </c>
      <c r="F21" s="12" t="s">
        <v>53</v>
      </c>
      <c r="G21" s="19"/>
    </row>
    <row r="22" spans="1:7" ht="18" customHeight="1" x14ac:dyDescent="0.2">
      <c r="A22" s="7" t="s">
        <v>54</v>
      </c>
      <c r="B22" s="18">
        <f>B21*12</f>
        <v>43596</v>
      </c>
      <c r="C22" s="18">
        <v>0</v>
      </c>
      <c r="D22" s="18">
        <v>0</v>
      </c>
      <c r="E22" s="9" t="s">
        <v>55</v>
      </c>
      <c r="F22" s="6"/>
      <c r="G22" s="6"/>
    </row>
    <row r="23" spans="1:7" ht="21.75" customHeight="1" x14ac:dyDescent="0.2">
      <c r="A23" s="7" t="s">
        <v>56</v>
      </c>
      <c r="B23" s="20">
        <v>2.8000000000000001E-2</v>
      </c>
      <c r="C23" s="20">
        <v>0</v>
      </c>
      <c r="D23" s="20">
        <v>0</v>
      </c>
      <c r="E23" s="9" t="s">
        <v>57</v>
      </c>
      <c r="F23" s="12" t="s">
        <v>58</v>
      </c>
      <c r="G23" s="19"/>
    </row>
    <row r="24" spans="1:7" ht="18" customHeight="1" x14ac:dyDescent="0.2">
      <c r="A24" s="7" t="s">
        <v>59</v>
      </c>
      <c r="B24" s="8">
        <v>2034</v>
      </c>
      <c r="C24" s="10" t="s">
        <v>18</v>
      </c>
      <c r="D24" s="10" t="s">
        <v>18</v>
      </c>
      <c r="E24" s="9" t="s">
        <v>60</v>
      </c>
      <c r="F24" s="6"/>
      <c r="G24" s="6"/>
    </row>
    <row r="25" spans="1:7" ht="18" customHeight="1" x14ac:dyDescent="0.2">
      <c r="A25" s="179" t="s">
        <v>61</v>
      </c>
      <c r="B25" s="177"/>
      <c r="C25" s="177"/>
      <c r="D25" s="177"/>
      <c r="E25" s="178"/>
      <c r="F25" s="6"/>
      <c r="G25" s="6"/>
    </row>
    <row r="26" spans="1:7" ht="21.75" customHeight="1" x14ac:dyDescent="0.2">
      <c r="A26" s="7" t="s">
        <v>62</v>
      </c>
      <c r="B26" s="16">
        <v>182</v>
      </c>
      <c r="C26" s="10" t="s">
        <v>18</v>
      </c>
      <c r="D26" s="10" t="s">
        <v>18</v>
      </c>
      <c r="E26" s="9" t="s">
        <v>63</v>
      </c>
      <c r="F26" s="12" t="s">
        <v>64</v>
      </c>
      <c r="G26" s="19"/>
    </row>
    <row r="27" spans="1:7" ht="21.75" customHeight="1" x14ac:dyDescent="0.2">
      <c r="A27" s="7" t="s">
        <v>65</v>
      </c>
      <c r="B27" s="20">
        <v>0.03</v>
      </c>
      <c r="C27" s="10" t="s">
        <v>18</v>
      </c>
      <c r="D27" s="10" t="s">
        <v>18</v>
      </c>
      <c r="E27" s="9" t="s">
        <v>66</v>
      </c>
      <c r="F27" s="12" t="s">
        <v>67</v>
      </c>
      <c r="G27" s="19"/>
    </row>
    <row r="28" spans="1:7" ht="21.75" customHeight="1" x14ac:dyDescent="0.2">
      <c r="A28" s="7" t="s">
        <v>68</v>
      </c>
      <c r="B28" s="10" t="s">
        <v>18</v>
      </c>
      <c r="C28" s="16">
        <v>3000</v>
      </c>
      <c r="D28" s="16">
        <v>0</v>
      </c>
      <c r="E28" s="9" t="s">
        <v>69</v>
      </c>
      <c r="F28" s="12" t="s">
        <v>70</v>
      </c>
      <c r="G28" s="19"/>
    </row>
    <row r="29" spans="1:7" ht="21.75" customHeight="1" x14ac:dyDescent="0.2">
      <c r="A29" s="7" t="s">
        <v>71</v>
      </c>
      <c r="B29" s="10" t="s">
        <v>18</v>
      </c>
      <c r="C29" s="20">
        <v>0.08</v>
      </c>
      <c r="D29" s="20">
        <v>0.08</v>
      </c>
      <c r="E29" s="9" t="s">
        <v>72</v>
      </c>
      <c r="F29" s="12" t="s">
        <v>73</v>
      </c>
      <c r="G29" s="19"/>
    </row>
    <row r="30" spans="1:7" ht="21.75" customHeight="1" x14ac:dyDescent="0.2">
      <c r="A30" s="7" t="s">
        <v>74</v>
      </c>
      <c r="B30" s="10" t="s">
        <v>18</v>
      </c>
      <c r="C30" s="10" t="s">
        <v>18</v>
      </c>
      <c r="D30" s="16">
        <v>3000</v>
      </c>
      <c r="E30" s="9" t="s">
        <v>75</v>
      </c>
      <c r="F30" s="12" t="s">
        <v>76</v>
      </c>
      <c r="G30" s="19"/>
    </row>
    <row r="31" spans="1:7" ht="18" customHeight="1" x14ac:dyDescent="0.2">
      <c r="A31" s="179" t="s">
        <v>77</v>
      </c>
      <c r="B31" s="177"/>
      <c r="C31" s="177"/>
      <c r="D31" s="177"/>
      <c r="E31" s="178"/>
      <c r="F31" s="6"/>
      <c r="G31" s="6"/>
    </row>
    <row r="32" spans="1:7" ht="18" customHeight="1" x14ac:dyDescent="0.2">
      <c r="A32" s="7" t="s">
        <v>78</v>
      </c>
      <c r="B32" s="20">
        <v>0.3</v>
      </c>
      <c r="C32" s="20">
        <v>0.3</v>
      </c>
      <c r="D32" s="20">
        <v>0.3</v>
      </c>
      <c r="E32" s="9" t="s">
        <v>79</v>
      </c>
      <c r="F32" s="6"/>
      <c r="G32" s="6"/>
    </row>
    <row r="33" spans="1:7" ht="21.75" customHeight="1" x14ac:dyDescent="0.2">
      <c r="A33" s="7" t="s">
        <v>80</v>
      </c>
      <c r="B33" s="21">
        <f>IF(ISBLANK(B88),552.47,IF(B88="Yes",B90,0))</f>
        <v>552.47</v>
      </c>
      <c r="C33" s="21">
        <f>IF(ISBLANK(C88),552.47,IF(C88="Yes",B90,0))</f>
        <v>552.47</v>
      </c>
      <c r="D33" s="21">
        <f>IF(ISBLANK(D88),552.47,IF(D88="Yes",B90,0))</f>
        <v>552.47</v>
      </c>
      <c r="E33" s="9" t="s">
        <v>81</v>
      </c>
      <c r="F33" s="12" t="s">
        <v>82</v>
      </c>
      <c r="G33" s="19"/>
    </row>
    <row r="34" spans="1:7" ht="21.75" customHeight="1" x14ac:dyDescent="0.2">
      <c r="A34" s="7" t="s">
        <v>83</v>
      </c>
      <c r="B34" s="20">
        <v>2.8000000000000001E-2</v>
      </c>
      <c r="C34" s="20">
        <v>2.8000000000000001E-2</v>
      </c>
      <c r="D34" s="20">
        <v>2.8000000000000001E-2</v>
      </c>
      <c r="E34" s="9" t="s">
        <v>84</v>
      </c>
      <c r="F34" s="12" t="s">
        <v>85</v>
      </c>
      <c r="G34" s="19"/>
    </row>
    <row r="35" spans="1:7" ht="18" customHeight="1" x14ac:dyDescent="0.2">
      <c r="A35" s="7" t="s">
        <v>86</v>
      </c>
      <c r="B35" s="8">
        <v>2034</v>
      </c>
      <c r="C35" s="8">
        <v>2028</v>
      </c>
      <c r="D35" s="8">
        <v>2028</v>
      </c>
      <c r="E35" s="9" t="s">
        <v>87</v>
      </c>
      <c r="F35" s="6"/>
      <c r="G35" s="6"/>
    </row>
    <row r="36" spans="1:7" x14ac:dyDescent="0.2">
      <c r="A36" s="179" t="s">
        <v>88</v>
      </c>
      <c r="B36" s="177"/>
      <c r="C36" s="177"/>
      <c r="D36" s="177"/>
      <c r="E36" s="178"/>
      <c r="F36" s="6"/>
      <c r="G36" s="6"/>
    </row>
    <row r="37" spans="1:7" x14ac:dyDescent="0.2">
      <c r="A37" s="7" t="s">
        <v>89</v>
      </c>
      <c r="B37" s="8">
        <v>36</v>
      </c>
      <c r="C37" s="8">
        <v>36</v>
      </c>
      <c r="D37" s="8">
        <v>36</v>
      </c>
      <c r="E37" s="9" t="s">
        <v>90</v>
      </c>
      <c r="F37" s="6"/>
      <c r="G37" s="6"/>
    </row>
    <row r="38" spans="1:7" ht="26" x14ac:dyDescent="0.2">
      <c r="A38" s="7" t="s">
        <v>91</v>
      </c>
      <c r="B38" s="21">
        <f>IF(B95="CUSTOM",4992,B97)</f>
        <v>4992</v>
      </c>
      <c r="C38" s="16">
        <v>0</v>
      </c>
      <c r="D38" s="21">
        <f>IF(B95="CUSTOM",4992,B97)</f>
        <v>4992</v>
      </c>
      <c r="E38" s="9" t="s">
        <v>92</v>
      </c>
      <c r="F38" s="12" t="s">
        <v>93</v>
      </c>
      <c r="G38" s="19"/>
    </row>
    <row r="39" spans="1:7" x14ac:dyDescent="0.2">
      <c r="A39" s="7" t="s">
        <v>94</v>
      </c>
      <c r="B39" s="16">
        <v>1000</v>
      </c>
      <c r="C39" s="16">
        <v>0</v>
      </c>
      <c r="D39" s="16">
        <v>1000</v>
      </c>
      <c r="E39" s="9" t="s">
        <v>95</v>
      </c>
      <c r="F39" s="12" t="s">
        <v>96</v>
      </c>
      <c r="G39" s="19"/>
    </row>
    <row r="40" spans="1:7" ht="26" x14ac:dyDescent="0.2">
      <c r="A40" s="7" t="s">
        <v>97</v>
      </c>
      <c r="B40" s="8" t="s">
        <v>98</v>
      </c>
      <c r="C40" s="10" t="s">
        <v>18</v>
      </c>
      <c r="D40" s="8" t="s">
        <v>98</v>
      </c>
      <c r="E40" s="9" t="s">
        <v>99</v>
      </c>
      <c r="F40" s="6"/>
      <c r="G40" s="6"/>
    </row>
    <row r="41" spans="1:7" x14ac:dyDescent="0.2">
      <c r="A41" s="7" t="s">
        <v>100</v>
      </c>
      <c r="B41" s="8" t="s">
        <v>101</v>
      </c>
      <c r="C41" s="8" t="s">
        <v>102</v>
      </c>
      <c r="D41" s="8" t="s">
        <v>103</v>
      </c>
      <c r="E41" s="9" t="s">
        <v>104</v>
      </c>
      <c r="F41" s="6"/>
      <c r="G41" s="6"/>
    </row>
    <row r="42" spans="1:7" x14ac:dyDescent="0.2">
      <c r="A42" s="179" t="s">
        <v>105</v>
      </c>
      <c r="B42" s="177"/>
      <c r="C42" s="177"/>
      <c r="D42" s="177"/>
      <c r="E42" s="178"/>
      <c r="F42" s="6"/>
      <c r="G42" s="6"/>
    </row>
    <row r="43" spans="1:7" x14ac:dyDescent="0.2">
      <c r="A43" s="7" t="s">
        <v>106</v>
      </c>
      <c r="B43" s="8">
        <v>2035</v>
      </c>
      <c r="C43" s="10" t="s">
        <v>18</v>
      </c>
      <c r="D43" s="10" t="s">
        <v>18</v>
      </c>
      <c r="E43" s="9" t="s">
        <v>107</v>
      </c>
      <c r="F43" s="6"/>
      <c r="G43" s="6"/>
    </row>
    <row r="44" spans="1:7" x14ac:dyDescent="0.2">
      <c r="A44" s="7" t="s">
        <v>108</v>
      </c>
      <c r="B44" s="10" t="s">
        <v>18</v>
      </c>
      <c r="C44" s="10" t="s">
        <v>18</v>
      </c>
      <c r="D44" s="8">
        <v>2028</v>
      </c>
      <c r="E44" s="9" t="s">
        <v>109</v>
      </c>
      <c r="F44" s="6"/>
      <c r="G44" s="6"/>
    </row>
    <row r="45" spans="1:7" ht="26" x14ac:dyDescent="0.2">
      <c r="A45" s="7" t="s">
        <v>110</v>
      </c>
      <c r="B45" s="8">
        <v>5</v>
      </c>
      <c r="C45" s="8">
        <v>0</v>
      </c>
      <c r="D45" s="8">
        <v>5</v>
      </c>
      <c r="E45" s="9" t="s">
        <v>111</v>
      </c>
      <c r="F45" s="12" t="s">
        <v>112</v>
      </c>
      <c r="G45" s="19"/>
    </row>
    <row r="46" spans="1:7" ht="26" x14ac:dyDescent="0.2">
      <c r="A46" s="7" t="s">
        <v>113</v>
      </c>
      <c r="B46" s="21">
        <f>IF(B95="CUSTOM",47000,B96)</f>
        <v>47000</v>
      </c>
      <c r="C46" s="16">
        <v>0</v>
      </c>
      <c r="D46" s="21">
        <f>IF(B95="CUSTOM",47000,B96)</f>
        <v>47000</v>
      </c>
      <c r="E46" s="9" t="s">
        <v>114</v>
      </c>
      <c r="F46" s="12" t="s">
        <v>115</v>
      </c>
      <c r="G46" s="13" t="s">
        <v>116</v>
      </c>
    </row>
    <row r="47" spans="1:7" ht="26" x14ac:dyDescent="0.2">
      <c r="A47" s="7" t="s">
        <v>117</v>
      </c>
      <c r="B47" s="10" t="s">
        <v>18</v>
      </c>
      <c r="C47" s="11">
        <f>IF(C75="GENERIC_IC",INCOME!C6*12,C76)</f>
        <v>175000</v>
      </c>
      <c r="D47" s="10" t="s">
        <v>18</v>
      </c>
      <c r="E47" s="9" t="s">
        <v>118</v>
      </c>
      <c r="F47" s="12" t="s">
        <v>119</v>
      </c>
      <c r="G47" s="19"/>
    </row>
    <row r="48" spans="1:7" ht="26" x14ac:dyDescent="0.2">
      <c r="A48" s="7" t="s">
        <v>120</v>
      </c>
      <c r="B48" s="21">
        <f>IF(B82="CONSERVATIVE",220000,B83)</f>
        <v>230000</v>
      </c>
      <c r="C48" s="16">
        <v>0</v>
      </c>
      <c r="D48" s="21">
        <f>IF(B82="CONSERVATIVE",220000,B83)</f>
        <v>230000</v>
      </c>
      <c r="E48" s="9" t="s">
        <v>121</v>
      </c>
      <c r="F48" s="12" t="s">
        <v>122</v>
      </c>
      <c r="G48" s="19"/>
    </row>
    <row r="49" spans="1:7" x14ac:dyDescent="0.2">
      <c r="A49" s="7" t="s">
        <v>123</v>
      </c>
      <c r="B49" s="8">
        <v>2040</v>
      </c>
      <c r="C49" s="10" t="s">
        <v>18</v>
      </c>
      <c r="D49" s="10" t="s">
        <v>18</v>
      </c>
      <c r="E49" s="9" t="s">
        <v>124</v>
      </c>
      <c r="F49" s="6"/>
      <c r="G49" s="6"/>
    </row>
    <row r="50" spans="1:7" x14ac:dyDescent="0.2">
      <c r="A50" s="7" t="s">
        <v>125</v>
      </c>
      <c r="B50" s="10" t="s">
        <v>18</v>
      </c>
      <c r="C50" s="10" t="s">
        <v>18</v>
      </c>
      <c r="D50" s="8">
        <v>2033</v>
      </c>
      <c r="E50" s="9" t="s">
        <v>126</v>
      </c>
      <c r="F50" s="6"/>
      <c r="G50" s="6"/>
    </row>
    <row r="51" spans="1:7" ht="26" x14ac:dyDescent="0.2">
      <c r="A51" s="7" t="s">
        <v>127</v>
      </c>
      <c r="B51" s="20">
        <v>0.04</v>
      </c>
      <c r="C51" s="20">
        <v>0.04</v>
      </c>
      <c r="D51" s="20">
        <v>0.04</v>
      </c>
      <c r="E51" s="9" t="s">
        <v>128</v>
      </c>
      <c r="F51" s="12" t="s">
        <v>129</v>
      </c>
      <c r="G51" s="19"/>
    </row>
    <row r="52" spans="1:7" x14ac:dyDescent="0.2">
      <c r="A52" s="7" t="s">
        <v>130</v>
      </c>
      <c r="B52" s="20">
        <v>2.5000000000000001E-2</v>
      </c>
      <c r="C52" s="10" t="s">
        <v>18</v>
      </c>
      <c r="D52" s="10" t="s">
        <v>18</v>
      </c>
      <c r="E52" s="9" t="s">
        <v>131</v>
      </c>
      <c r="F52" s="12" t="s">
        <v>132</v>
      </c>
      <c r="G52" s="19"/>
    </row>
    <row r="53" spans="1:7" x14ac:dyDescent="0.2">
      <c r="A53" s="179" t="s">
        <v>133</v>
      </c>
      <c r="B53" s="177"/>
      <c r="C53" s="177"/>
      <c r="D53" s="177"/>
      <c r="E53" s="178"/>
      <c r="F53" s="6"/>
      <c r="G53" s="6"/>
    </row>
    <row r="54" spans="1:7" x14ac:dyDescent="0.2">
      <c r="A54" s="7" t="s">
        <v>134</v>
      </c>
      <c r="B54" s="11">
        <f>ASSETS!B10</f>
        <v>75000</v>
      </c>
      <c r="C54" s="11">
        <f>ASSETS!B10</f>
        <v>75000</v>
      </c>
      <c r="D54" s="11">
        <f>ASSETS!B10</f>
        <v>75000</v>
      </c>
      <c r="E54" s="9" t="s">
        <v>135</v>
      </c>
      <c r="F54" s="12" t="s">
        <v>136</v>
      </c>
      <c r="G54" s="13" t="s">
        <v>137</v>
      </c>
    </row>
    <row r="55" spans="1:7" x14ac:dyDescent="0.2">
      <c r="A55" s="7" t="s">
        <v>138</v>
      </c>
      <c r="B55" s="11">
        <f>ASSETS!B19</f>
        <v>30000</v>
      </c>
      <c r="C55" s="11">
        <f>ASSETS!B19</f>
        <v>30000</v>
      </c>
      <c r="D55" s="11">
        <f>ASSETS!B19</f>
        <v>30000</v>
      </c>
      <c r="E55" s="9" t="s">
        <v>139</v>
      </c>
      <c r="F55" s="12" t="s">
        <v>140</v>
      </c>
      <c r="G55" s="13" t="s">
        <v>141</v>
      </c>
    </row>
    <row r="56" spans="1:7" x14ac:dyDescent="0.2">
      <c r="A56" s="7" t="s">
        <v>142</v>
      </c>
      <c r="B56" s="11">
        <f>ASSETS!B20</f>
        <v>58000</v>
      </c>
      <c r="C56" s="11">
        <f>ASSETS!B20</f>
        <v>58000</v>
      </c>
      <c r="D56" s="11">
        <f>ASSETS!B20</f>
        <v>58000</v>
      </c>
      <c r="E56" s="9" t="s">
        <v>143</v>
      </c>
      <c r="F56" s="12" t="s">
        <v>144</v>
      </c>
      <c r="G56" s="13" t="s">
        <v>145</v>
      </c>
    </row>
    <row r="57" spans="1:7" x14ac:dyDescent="0.2">
      <c r="A57" s="7" t="s">
        <v>146</v>
      </c>
      <c r="B57" s="11">
        <f>ASSETS!B7+ASSETS!B8</f>
        <v>20000</v>
      </c>
      <c r="C57" s="11">
        <f>ASSETS!B7+ASSETS!B8</f>
        <v>20000</v>
      </c>
      <c r="D57" s="11">
        <f>ASSETS!B7+ASSETS!B8</f>
        <v>20000</v>
      </c>
      <c r="E57" s="9" t="s">
        <v>147</v>
      </c>
      <c r="F57" s="12" t="s">
        <v>148</v>
      </c>
      <c r="G57" s="13" t="s">
        <v>149</v>
      </c>
    </row>
    <row r="58" spans="1:7" x14ac:dyDescent="0.2">
      <c r="A58" s="7" t="s">
        <v>150</v>
      </c>
      <c r="B58" s="18">
        <f>B54+B55+B56+B57</f>
        <v>183000</v>
      </c>
      <c r="C58" s="18">
        <f>C54+C55+C56+C57</f>
        <v>183000</v>
      </c>
      <c r="D58" s="18">
        <f>D54+D55+D56+D57</f>
        <v>183000</v>
      </c>
      <c r="E58" s="9" t="s">
        <v>151</v>
      </c>
      <c r="F58" s="12" t="s">
        <v>152</v>
      </c>
      <c r="G58" s="19"/>
    </row>
    <row r="59" spans="1:7" ht="26" x14ac:dyDescent="0.2">
      <c r="A59" s="7" t="s">
        <v>153</v>
      </c>
      <c r="B59" s="20">
        <v>7.0000000000000007E-2</v>
      </c>
      <c r="C59" s="20">
        <v>7.0000000000000007E-2</v>
      </c>
      <c r="D59" s="20">
        <v>7.0000000000000007E-2</v>
      </c>
      <c r="E59" s="9" t="s">
        <v>154</v>
      </c>
      <c r="F59" s="12" t="s">
        <v>155</v>
      </c>
      <c r="G59" s="19"/>
    </row>
    <row r="60" spans="1:7" ht="26" x14ac:dyDescent="0.2">
      <c r="A60" s="7" t="s">
        <v>156</v>
      </c>
      <c r="B60" s="16">
        <v>1900</v>
      </c>
      <c r="C60" s="16">
        <v>1900</v>
      </c>
      <c r="D60" s="16">
        <v>1900</v>
      </c>
      <c r="E60" s="9" t="s">
        <v>157</v>
      </c>
      <c r="F60" s="12" t="s">
        <v>158</v>
      </c>
      <c r="G60" s="19"/>
    </row>
    <row r="61" spans="1:7" x14ac:dyDescent="0.2">
      <c r="A61" s="7" t="s">
        <v>159</v>
      </c>
      <c r="B61" s="16">
        <v>500</v>
      </c>
      <c r="C61" s="16">
        <v>500</v>
      </c>
      <c r="D61" s="16">
        <v>500</v>
      </c>
      <c r="E61" s="9" t="s">
        <v>160</v>
      </c>
      <c r="F61" s="12" t="s">
        <v>161</v>
      </c>
      <c r="G61" s="19"/>
    </row>
    <row r="62" spans="1:7" ht="26" x14ac:dyDescent="0.2">
      <c r="A62" s="7" t="s">
        <v>162</v>
      </c>
      <c r="B62" s="16">
        <v>0</v>
      </c>
      <c r="C62" s="16">
        <v>0</v>
      </c>
      <c r="D62" s="16">
        <v>0</v>
      </c>
      <c r="E62" s="9" t="s">
        <v>163</v>
      </c>
      <c r="F62" s="12" t="s">
        <v>164</v>
      </c>
      <c r="G62" s="19"/>
    </row>
    <row r="63" spans="1:7" x14ac:dyDescent="0.2">
      <c r="A63" s="179" t="s">
        <v>165</v>
      </c>
      <c r="B63" s="177"/>
      <c r="C63" s="177"/>
      <c r="D63" s="177"/>
      <c r="E63" s="178"/>
      <c r="F63" s="6"/>
      <c r="G63" s="6"/>
    </row>
    <row r="64" spans="1:7" ht="26" x14ac:dyDescent="0.2">
      <c r="A64" s="7" t="s">
        <v>166</v>
      </c>
      <c r="B64" s="20">
        <v>0.12</v>
      </c>
      <c r="C64" s="20">
        <v>0.12</v>
      </c>
      <c r="D64" s="20">
        <v>0.12</v>
      </c>
      <c r="E64" s="9" t="s">
        <v>167</v>
      </c>
      <c r="F64" s="12" t="s">
        <v>168</v>
      </c>
      <c r="G64" s="19"/>
    </row>
    <row r="65" spans="1:7" x14ac:dyDescent="0.2">
      <c r="A65" s="7" t="s">
        <v>169</v>
      </c>
      <c r="B65" s="10" t="s">
        <v>18</v>
      </c>
      <c r="C65" s="20">
        <v>0.22</v>
      </c>
      <c r="D65" s="20">
        <v>0.22</v>
      </c>
      <c r="E65" s="9" t="s">
        <v>170</v>
      </c>
      <c r="F65" s="12" t="s">
        <v>171</v>
      </c>
      <c r="G65" s="19"/>
    </row>
    <row r="66" spans="1:7" x14ac:dyDescent="0.2">
      <c r="A66" s="7" t="s">
        <v>172</v>
      </c>
      <c r="B66" s="20">
        <v>0.24</v>
      </c>
      <c r="C66" s="20">
        <v>0.24</v>
      </c>
      <c r="D66" s="20">
        <v>0.24</v>
      </c>
      <c r="E66" s="9" t="s">
        <v>173</v>
      </c>
      <c r="F66" s="12" t="s">
        <v>174</v>
      </c>
      <c r="G66" s="19"/>
    </row>
    <row r="67" spans="1:7" ht="26" x14ac:dyDescent="0.2">
      <c r="A67" s="7" t="s">
        <v>175</v>
      </c>
      <c r="B67" s="20">
        <v>7.0000000000000007E-2</v>
      </c>
      <c r="C67" s="20">
        <v>7.0000000000000007E-2</v>
      </c>
      <c r="D67" s="20">
        <v>7.0000000000000007E-2</v>
      </c>
      <c r="E67" s="9" t="s">
        <v>176</v>
      </c>
      <c r="F67" s="12" t="s">
        <v>177</v>
      </c>
      <c r="G67" s="19"/>
    </row>
    <row r="68" spans="1:7" x14ac:dyDescent="0.2">
      <c r="A68" s="179" t="s">
        <v>178</v>
      </c>
      <c r="B68" s="177"/>
      <c r="C68" s="177"/>
      <c r="D68" s="177"/>
      <c r="E68" s="178"/>
      <c r="F68" s="6"/>
      <c r="G68" s="6"/>
    </row>
    <row r="69" spans="1:7" ht="26" x14ac:dyDescent="0.2">
      <c r="A69" s="7" t="s">
        <v>179</v>
      </c>
      <c r="B69" s="20">
        <v>2.8000000000000001E-2</v>
      </c>
      <c r="C69" s="20">
        <v>2.8000000000000001E-2</v>
      </c>
      <c r="D69" s="20">
        <v>2.8000000000000001E-2</v>
      </c>
      <c r="E69" s="9" t="s">
        <v>180</v>
      </c>
      <c r="F69" s="6"/>
      <c r="G69" s="6"/>
    </row>
    <row r="70" spans="1:7" x14ac:dyDescent="0.2">
      <c r="A70" s="7" t="s">
        <v>181</v>
      </c>
      <c r="B70" s="11">
        <f>EXPENSES!B126</f>
        <v>2393.8199999999997</v>
      </c>
      <c r="C70" s="11">
        <f>EXPENSES!B126</f>
        <v>2393.8199999999997</v>
      </c>
      <c r="D70" s="11">
        <f>EXPENSES!B126</f>
        <v>2393.8199999999997</v>
      </c>
      <c r="E70" s="9" t="s">
        <v>182</v>
      </c>
      <c r="F70" s="12" t="s">
        <v>183</v>
      </c>
      <c r="G70" s="13" t="s">
        <v>184</v>
      </c>
    </row>
    <row r="71" spans="1:7" x14ac:dyDescent="0.2">
      <c r="A71" s="7" t="s">
        <v>185</v>
      </c>
      <c r="B71" s="20">
        <v>0.03</v>
      </c>
      <c r="C71" s="20">
        <v>0.03</v>
      </c>
      <c r="D71" s="20">
        <v>0.03</v>
      </c>
      <c r="E71" s="9" t="s">
        <v>186</v>
      </c>
      <c r="F71" s="12" t="s">
        <v>187</v>
      </c>
      <c r="G71" s="19"/>
    </row>
    <row r="72" spans="1:7" x14ac:dyDescent="0.2">
      <c r="A72" s="7" t="s">
        <v>188</v>
      </c>
      <c r="B72" s="8">
        <v>82</v>
      </c>
      <c r="C72" s="8">
        <v>82</v>
      </c>
      <c r="D72" s="8">
        <v>82</v>
      </c>
      <c r="E72" s="9" t="s">
        <v>189</v>
      </c>
      <c r="F72" s="6"/>
      <c r="G72" s="6"/>
    </row>
    <row r="73" spans="1:7" x14ac:dyDescent="0.2">
      <c r="A73" s="22"/>
      <c r="B73" s="22"/>
      <c r="C73" s="22"/>
      <c r="D73" s="22"/>
      <c r="E73" s="22"/>
      <c r="F73" s="22"/>
      <c r="G73" s="22"/>
    </row>
    <row r="74" spans="1:7" x14ac:dyDescent="0.2">
      <c r="A74" s="183" t="s">
        <v>190</v>
      </c>
      <c r="B74" s="173"/>
      <c r="C74" s="173"/>
      <c r="D74" s="173"/>
      <c r="E74" s="173"/>
      <c r="F74" s="23"/>
      <c r="G74" s="23"/>
    </row>
    <row r="75" spans="1:7" ht="39" x14ac:dyDescent="0.2">
      <c r="A75" s="24" t="s">
        <v>191</v>
      </c>
      <c r="C75" s="25" t="s">
        <v>306</v>
      </c>
      <c r="E75" s="26" t="s">
        <v>193</v>
      </c>
      <c r="F75" s="26" t="s">
        <v>194</v>
      </c>
      <c r="G75" s="26" t="s">
        <v>195</v>
      </c>
    </row>
    <row r="76" spans="1:7" ht="26" x14ac:dyDescent="0.2">
      <c r="A76" s="24" t="s">
        <v>196</v>
      </c>
      <c r="C76" s="18">
        <f>IFERROR(VLOOKUP(C75,CAREER_DATA!$A$5:$H$10,4,FALSE()),117637.8)</f>
        <v>175000</v>
      </c>
      <c r="E76" s="26" t="s">
        <v>197</v>
      </c>
      <c r="F76" s="26" t="s">
        <v>198</v>
      </c>
      <c r="G76" s="26" t="s">
        <v>199</v>
      </c>
    </row>
    <row r="77" spans="1:7" ht="26" x14ac:dyDescent="0.2">
      <c r="A77" s="24" t="s">
        <v>200</v>
      </c>
      <c r="C77" s="18">
        <f>IFERROR(VLOOKUP(C75,CAREER_DATA!$A$5:$H$10,6,FALSE()),20000)</f>
        <v>90000</v>
      </c>
      <c r="E77" s="26" t="s">
        <v>201</v>
      </c>
      <c r="F77" s="26" t="s">
        <v>202</v>
      </c>
      <c r="G77" s="26" t="s">
        <v>203</v>
      </c>
    </row>
    <row r="78" spans="1:7" ht="26" x14ac:dyDescent="0.2">
      <c r="A78" s="24" t="s">
        <v>204</v>
      </c>
      <c r="C78" s="18">
        <f>IFERROR(VLOOKUP(C75,CAREER_DATA!$A$5:$H$10,8,FALSE()),137638)</f>
        <v>291250</v>
      </c>
      <c r="E78" s="26" t="s">
        <v>205</v>
      </c>
      <c r="F78" s="26" t="s">
        <v>206</v>
      </c>
      <c r="G78" s="26" t="s">
        <v>207</v>
      </c>
    </row>
    <row r="79" spans="1:7" ht="26" x14ac:dyDescent="0.2">
      <c r="A79" s="24" t="s">
        <v>208</v>
      </c>
      <c r="C79" s="27">
        <f>IFERROR(VLOOKUP(C75,CAREER_DATA!$A$5:$H$10,7,FALSE()),0.04)</f>
        <v>0.04</v>
      </c>
      <c r="E79" s="26" t="s">
        <v>209</v>
      </c>
      <c r="F79" s="26" t="s">
        <v>210</v>
      </c>
      <c r="G79" s="26" t="s">
        <v>211</v>
      </c>
    </row>
    <row r="80" spans="1:7" x14ac:dyDescent="0.2">
      <c r="A80" s="22"/>
      <c r="B80" s="22"/>
      <c r="C80" s="22"/>
      <c r="D80" s="22"/>
      <c r="E80" s="22"/>
      <c r="F80" s="22"/>
      <c r="G80" s="22"/>
    </row>
    <row r="81" spans="1:7" x14ac:dyDescent="0.2">
      <c r="A81" s="185" t="s">
        <v>212</v>
      </c>
      <c r="B81" s="173"/>
      <c r="C81" s="173"/>
      <c r="D81" s="173"/>
      <c r="E81" s="173"/>
      <c r="F81" s="28"/>
      <c r="G81" s="28"/>
    </row>
    <row r="82" spans="1:7" ht="39" x14ac:dyDescent="0.2">
      <c r="A82" s="24" t="s">
        <v>213</v>
      </c>
      <c r="B82" s="25" t="s">
        <v>339</v>
      </c>
      <c r="E82" s="26" t="s">
        <v>215</v>
      </c>
      <c r="F82" s="26" t="s">
        <v>216</v>
      </c>
      <c r="G82" s="26" t="s">
        <v>217</v>
      </c>
    </row>
    <row r="83" spans="1:7" ht="26" x14ac:dyDescent="0.2">
      <c r="A83" s="24" t="s">
        <v>218</v>
      </c>
      <c r="B83" s="18">
        <f>IFERROR(VLOOKUP(B82,CAREER_DATA!$A$14:$H$20,4,FALSE()),220000)</f>
        <v>230000</v>
      </c>
      <c r="E83" s="26" t="s">
        <v>219</v>
      </c>
      <c r="F83" s="26" t="s">
        <v>220</v>
      </c>
      <c r="G83" s="26" t="s">
        <v>221</v>
      </c>
    </row>
    <row r="84" spans="1:7" ht="26" x14ac:dyDescent="0.2">
      <c r="A84" s="24" t="s">
        <v>222</v>
      </c>
      <c r="B84" s="18">
        <f>IFERROR(VLOOKUP(B82,CAREER_DATA!$A$14:$H$20,6,FALSE()),30000)</f>
        <v>120000</v>
      </c>
      <c r="E84" s="26" t="s">
        <v>223</v>
      </c>
      <c r="F84" s="26" t="s">
        <v>206</v>
      </c>
      <c r="G84" s="26" t="s">
        <v>224</v>
      </c>
    </row>
    <row r="85" spans="1:7" ht="26" x14ac:dyDescent="0.2">
      <c r="A85" s="24" t="s">
        <v>225</v>
      </c>
      <c r="B85" s="18">
        <f>IFERROR(VLOOKUP(B82,CAREER_DATA!$A$14:$H$20,8,FALSE()),272000)</f>
        <v>384500</v>
      </c>
      <c r="E85" s="26" t="s">
        <v>226</v>
      </c>
      <c r="F85" s="26" t="s">
        <v>206</v>
      </c>
      <c r="G85" s="26" t="s">
        <v>227</v>
      </c>
    </row>
    <row r="86" spans="1:7" x14ac:dyDescent="0.2">
      <c r="A86" s="22"/>
      <c r="B86" s="22"/>
      <c r="C86" s="22"/>
      <c r="D86" s="22"/>
      <c r="E86" s="22"/>
      <c r="F86" s="22"/>
      <c r="G86" s="22"/>
    </row>
    <row r="87" spans="1:7" x14ac:dyDescent="0.2">
      <c r="A87" s="182" t="s">
        <v>228</v>
      </c>
      <c r="B87" s="173"/>
      <c r="C87" s="173"/>
      <c r="D87" s="173"/>
      <c r="E87" s="173"/>
      <c r="F87" s="29"/>
      <c r="G87" s="29"/>
    </row>
    <row r="88" spans="1:7" ht="26" x14ac:dyDescent="0.2">
      <c r="A88" s="24" t="s">
        <v>229</v>
      </c>
      <c r="B88" s="25" t="s">
        <v>230</v>
      </c>
      <c r="C88" s="25" t="s">
        <v>230</v>
      </c>
      <c r="D88" s="25" t="s">
        <v>230</v>
      </c>
      <c r="E88" s="26" t="s">
        <v>231</v>
      </c>
      <c r="F88" s="26" t="s">
        <v>232</v>
      </c>
    </row>
    <row r="89" spans="1:7" ht="26" x14ac:dyDescent="0.2">
      <c r="A89" s="24" t="s">
        <v>233</v>
      </c>
      <c r="B89" s="30" t="s">
        <v>234</v>
      </c>
      <c r="E89" s="26" t="s">
        <v>235</v>
      </c>
      <c r="F89" s="26" t="s">
        <v>236</v>
      </c>
    </row>
    <row r="90" spans="1:7" ht="26" x14ac:dyDescent="0.2">
      <c r="A90" s="24" t="s">
        <v>237</v>
      </c>
      <c r="B90" s="18">
        <f>IFERROR(VLOOKUP(B89,CAREER_DATA!$A$24:$B$34,2,FALSE()),552.47)</f>
        <v>552.47</v>
      </c>
      <c r="E90" s="26" t="s">
        <v>238</v>
      </c>
      <c r="F90" s="26" t="s">
        <v>239</v>
      </c>
      <c r="G90" s="26" t="s">
        <v>240</v>
      </c>
    </row>
    <row r="91" spans="1:7" ht="26" x14ac:dyDescent="0.2">
      <c r="A91" s="24" t="s">
        <v>241</v>
      </c>
      <c r="B91" s="30">
        <v>2.8000000000000001E-2</v>
      </c>
      <c r="E91" s="26" t="s">
        <v>242</v>
      </c>
      <c r="F91" s="26" t="s">
        <v>243</v>
      </c>
    </row>
    <row r="92" spans="1:7" ht="26" x14ac:dyDescent="0.2">
      <c r="A92" s="24" t="s">
        <v>244</v>
      </c>
      <c r="B92" s="31" t="s">
        <v>245</v>
      </c>
      <c r="E92" s="26" t="s">
        <v>246</v>
      </c>
    </row>
    <row r="93" spans="1:7" x14ac:dyDescent="0.2">
      <c r="A93" s="22"/>
      <c r="B93" s="22"/>
      <c r="C93" s="22"/>
      <c r="D93" s="22"/>
      <c r="E93" s="22"/>
      <c r="F93" s="22"/>
      <c r="G93" s="22"/>
    </row>
    <row r="94" spans="1:7" x14ac:dyDescent="0.2">
      <c r="A94" s="182" t="s">
        <v>247</v>
      </c>
      <c r="B94" s="173"/>
      <c r="C94" s="173"/>
      <c r="D94" s="173"/>
      <c r="E94" s="173"/>
      <c r="F94" s="29"/>
      <c r="G94" s="29"/>
    </row>
    <row r="95" spans="1:7" ht="39" x14ac:dyDescent="0.2">
      <c r="A95" s="24" t="s">
        <v>248</v>
      </c>
      <c r="B95" s="25" t="s">
        <v>249</v>
      </c>
      <c r="E95" s="26" t="s">
        <v>250</v>
      </c>
      <c r="F95" s="26" t="s">
        <v>251</v>
      </c>
      <c r="G95" s="26" t="s">
        <v>252</v>
      </c>
    </row>
    <row r="96" spans="1:7" ht="26" x14ac:dyDescent="0.2">
      <c r="A96" s="24" t="s">
        <v>253</v>
      </c>
      <c r="B96" s="18">
        <f>IFERROR(VLOOKUP(B95,SCHOOL_DATA!$A$5:$L$13,5,FALSE()),47000)</f>
        <v>47000</v>
      </c>
      <c r="E96" s="26" t="s">
        <v>254</v>
      </c>
      <c r="F96" s="26" t="s">
        <v>255</v>
      </c>
      <c r="G96" s="26" t="s">
        <v>256</v>
      </c>
    </row>
    <row r="97" spans="1:7" ht="26" x14ac:dyDescent="0.2">
      <c r="A97" s="24" t="s">
        <v>257</v>
      </c>
      <c r="B97" s="18">
        <f>IFERROR(VLOOKUP(B95,SCHOOL_DATA!$A$5:$L$13,6,FALSE()),4992)</f>
        <v>4992</v>
      </c>
      <c r="E97" s="26" t="s">
        <v>258</v>
      </c>
      <c r="F97" s="26" t="s">
        <v>259</v>
      </c>
      <c r="G97" s="26" t="s">
        <v>260</v>
      </c>
    </row>
    <row r="98" spans="1:7" ht="26" x14ac:dyDescent="0.2">
      <c r="A98" s="24" t="s">
        <v>261</v>
      </c>
      <c r="B98" s="27">
        <f>IFERROR(VLOOKUP(B95,SCHOOL_DATA!$A$5:$L$13,10,FALSE()),0.07)</f>
        <v>7.0000000000000007E-2</v>
      </c>
      <c r="E98" s="26" t="s">
        <v>262</v>
      </c>
      <c r="F98" s="26" t="s">
        <v>263</v>
      </c>
      <c r="G98" s="26" t="s">
        <v>264</v>
      </c>
    </row>
    <row r="99" spans="1:7" ht="26" x14ac:dyDescent="0.2">
      <c r="A99" s="24" t="s">
        <v>265</v>
      </c>
      <c r="B99" s="18">
        <f>IFERROR(VLOOKUP(B95,SCHOOL_DATA!$A$5:$L$13,9,FALSE()),2500)</f>
        <v>2500</v>
      </c>
      <c r="E99" s="26" t="s">
        <v>266</v>
      </c>
      <c r="F99" s="26" t="s">
        <v>267</v>
      </c>
      <c r="G99" s="26" t="s">
        <v>268</v>
      </c>
    </row>
    <row r="100" spans="1:7" ht="26" x14ac:dyDescent="0.2">
      <c r="A100" s="24" t="s">
        <v>269</v>
      </c>
      <c r="B100" s="32" t="str">
        <f>IFERROR(VLOOKUP(B95,SCHOOL_DATA!$A$5:$L$13,8,FALSE()),"Yes")</f>
        <v>Yes</v>
      </c>
      <c r="E100" s="26" t="s">
        <v>270</v>
      </c>
      <c r="F100" s="26" t="s">
        <v>271</v>
      </c>
    </row>
    <row r="101" spans="1:7" x14ac:dyDescent="0.2">
      <c r="A101" s="22"/>
      <c r="B101" s="22"/>
      <c r="C101" s="22"/>
      <c r="D101" s="22"/>
      <c r="E101" s="22"/>
      <c r="F101" s="22"/>
      <c r="G101" s="22"/>
    </row>
    <row r="102" spans="1:7" x14ac:dyDescent="0.2">
      <c r="A102" s="180" t="s">
        <v>272</v>
      </c>
      <c r="B102" s="173"/>
      <c r="C102" s="173"/>
      <c r="D102" s="173"/>
      <c r="E102" s="173"/>
      <c r="F102" s="33"/>
      <c r="G102" s="33"/>
    </row>
    <row r="103" spans="1:7" ht="18" customHeight="1" x14ac:dyDescent="0.2">
      <c r="A103" s="34" t="s">
        <v>273</v>
      </c>
      <c r="B103" s="35" t="s">
        <v>274</v>
      </c>
      <c r="C103" s="36" t="s">
        <v>275</v>
      </c>
      <c r="D103" s="37" t="s">
        <v>276</v>
      </c>
      <c r="E103" s="34" t="s">
        <v>277</v>
      </c>
    </row>
    <row r="104" spans="1:7" ht="19" customHeight="1" x14ac:dyDescent="0.2">
      <c r="A104" s="38" t="s">
        <v>278</v>
      </c>
      <c r="B104" s="39" t="s">
        <v>18</v>
      </c>
      <c r="C104" s="39">
        <f>C76</f>
        <v>175000</v>
      </c>
      <c r="D104" s="39" t="s">
        <v>18</v>
      </c>
      <c r="E104" s="26" t="s">
        <v>279</v>
      </c>
    </row>
    <row r="105" spans="1:7" ht="19" customHeight="1" x14ac:dyDescent="0.2">
      <c r="A105" s="38" t="s">
        <v>280</v>
      </c>
      <c r="B105" s="39">
        <f>B83</f>
        <v>230000</v>
      </c>
      <c r="C105" s="39" t="s">
        <v>18</v>
      </c>
      <c r="D105" s="39">
        <f>B83</f>
        <v>230000</v>
      </c>
      <c r="E105" s="26" t="s">
        <v>281</v>
      </c>
    </row>
    <row r="106" spans="1:7" ht="19" customHeight="1" x14ac:dyDescent="0.2">
      <c r="A106" s="38" t="s">
        <v>282</v>
      </c>
      <c r="B106" s="39">
        <f>B96</f>
        <v>47000</v>
      </c>
      <c r="C106" s="39" t="s">
        <v>18</v>
      </c>
      <c r="D106" s="39">
        <f>B96</f>
        <v>47000</v>
      </c>
      <c r="E106" s="26" t="s">
        <v>283</v>
      </c>
    </row>
    <row r="107" spans="1:7" ht="19" customHeight="1" x14ac:dyDescent="0.2">
      <c r="A107" s="38" t="s">
        <v>284</v>
      </c>
      <c r="B107" s="39">
        <f>B97</f>
        <v>4992</v>
      </c>
      <c r="C107" s="39">
        <f>0</f>
        <v>0</v>
      </c>
      <c r="D107" s="39">
        <f>B97</f>
        <v>4992</v>
      </c>
      <c r="E107" s="26" t="s">
        <v>285</v>
      </c>
    </row>
    <row r="108" spans="1:7" ht="19" customHeight="1" x14ac:dyDescent="0.2">
      <c r="A108" s="38" t="s">
        <v>286</v>
      </c>
      <c r="B108" s="39">
        <f>IF(B88="Yes",B90,0)</f>
        <v>552.47</v>
      </c>
      <c r="C108" s="39">
        <f>IF(C88="Yes",B90,0)</f>
        <v>552.47</v>
      </c>
      <c r="D108" s="39">
        <f>IF(D88="Yes",B90,0)</f>
        <v>552.47</v>
      </c>
      <c r="E108" s="26" t="s">
        <v>287</v>
      </c>
    </row>
    <row r="109" spans="1:7" ht="19" customHeight="1" x14ac:dyDescent="0.2">
      <c r="A109" s="38" t="s">
        <v>288</v>
      </c>
      <c r="B109" s="39">
        <f>B96+B97*12</f>
        <v>106904</v>
      </c>
      <c r="C109" s="39" t="str">
        <f>"N/A (no PhD)"</f>
        <v>N/A (no PhD)</v>
      </c>
      <c r="D109" s="39">
        <f>B96+B97*12</f>
        <v>106904</v>
      </c>
      <c r="E109" s="26" t="s">
        <v>289</v>
      </c>
    </row>
    <row r="110" spans="1:7" ht="19" customHeight="1" x14ac:dyDescent="0.2">
      <c r="A110" s="38" t="s">
        <v>290</v>
      </c>
      <c r="B110" s="39">
        <f>B85</f>
        <v>384500</v>
      </c>
      <c r="C110" s="39">
        <f>C78</f>
        <v>291250</v>
      </c>
      <c r="D110" s="39">
        <f>B85</f>
        <v>384500</v>
      </c>
      <c r="E110" s="26" t="s">
        <v>291</v>
      </c>
    </row>
    <row r="111" spans="1:7" ht="19" customHeight="1" x14ac:dyDescent="0.2">
      <c r="A111" s="22"/>
      <c r="B111" s="22"/>
      <c r="C111" s="22"/>
      <c r="D111" s="22"/>
      <c r="E111" s="22"/>
      <c r="F111" s="22"/>
      <c r="G111" s="22"/>
    </row>
  </sheetData>
  <mergeCells count="17">
    <mergeCell ref="A68:E68"/>
    <mergeCell ref="A11:E11"/>
    <mergeCell ref="A63:E63"/>
    <mergeCell ref="A102:E102"/>
    <mergeCell ref="A2:G2"/>
    <mergeCell ref="A1:E1"/>
    <mergeCell ref="A94:E94"/>
    <mergeCell ref="A36:E36"/>
    <mergeCell ref="A31:E31"/>
    <mergeCell ref="A74:E74"/>
    <mergeCell ref="A17:E17"/>
    <mergeCell ref="A53:E53"/>
    <mergeCell ref="A87:E87"/>
    <mergeCell ref="A4:E4"/>
    <mergeCell ref="A81:E81"/>
    <mergeCell ref="A25:E25"/>
    <mergeCell ref="A42:E42"/>
  </mergeCells>
  <dataValidations count="5">
    <dataValidation type="list" showErrorMessage="1" errorTitle="Invalid Company" error="Select a valid company ID from the list." sqref="C75" xr:uid="{00000000-0002-0000-0000-000000000000}">
      <formula1>"GENERIC_IC,MSFT_SWE,GOOG_SWE,NVDA_IC,INTEL_IC,STARTUP_TECH"</formula1>
    </dataValidation>
    <dataValidation type="list" showErrorMessage="1" errorTitle="Invalid Employer" error="Select a valid employer ID from the list." sqref="B82" xr:uid="{00000000-0002-0000-0000-000001000000}">
      <formula1>"CONSERVATIVE,INTEL_LABS,NEURALINK,MSFT_RESEARCH,DEEPMIND,NVDA_RESEARCH,ANTHROPIC"</formula1>
    </dataValidation>
    <dataValidation type="list" sqref="B88:D88" xr:uid="{00000000-0002-0000-0000-000002000000}">
      <formula1>"Yes,No"</formula1>
    </dataValidation>
    <dataValidation type="list" showErrorMessage="1" errorTitle="Invalid Rating" error="Select a valid rating percentage." sqref="B89" xr:uid="{00000000-0002-0000-0000-000005000000}">
      <formula1>"0%,10%,20%,30%,40%,50%,60%,70%,80%,90%,100%"</formula1>
    </dataValidation>
    <dataValidation type="list" showErrorMessage="1" errorTitle="Invalid Program" error="Select a valid program ID." sqref="B95" xr:uid="{00000000-0002-0000-0000-000006000000}">
      <formula1>"STAN-CS-PHD,UCB-EECS-PHD,MIT-EECS-PHD,CMU-SCS-PHD,UW-CSE-PHD,UCD-CS-PHD,IST-IGPC-MD,CAM-CS-PHD,CUSTOM"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showGridLines="0" zoomScale="140" zoomScaleNormal="140" workbookViewId="0">
      <selection activeCell="E38" sqref="E38"/>
    </sheetView>
  </sheetViews>
  <sheetFormatPr baseColWidth="10" defaultColWidth="8.6640625" defaultRowHeight="15" customHeight="1" x14ac:dyDescent="0.2"/>
  <cols>
    <col min="1" max="1" width="22" customWidth="1"/>
    <col min="2" max="2" width="28" customWidth="1"/>
    <col min="3" max="3" width="20" customWidth="1"/>
    <col min="4" max="7" width="16" customWidth="1"/>
    <col min="8" max="8" width="14" customWidth="1"/>
    <col min="9" max="9" width="40" customWidth="1"/>
  </cols>
  <sheetData>
    <row r="1" spans="1:9" ht="27.75" customHeight="1" x14ac:dyDescent="0.2">
      <c r="A1" s="186" t="s">
        <v>292</v>
      </c>
      <c r="B1" s="173"/>
      <c r="C1" s="173"/>
      <c r="D1" s="173"/>
      <c r="E1" s="173"/>
      <c r="F1" s="173"/>
      <c r="G1" s="173"/>
      <c r="H1" s="173"/>
      <c r="I1" s="173"/>
    </row>
    <row r="3" spans="1:9" ht="19.5" customHeight="1" x14ac:dyDescent="0.2">
      <c r="A3" s="183" t="s">
        <v>293</v>
      </c>
      <c r="B3" s="173"/>
      <c r="C3" s="173"/>
      <c r="D3" s="173"/>
      <c r="E3" s="173"/>
      <c r="F3" s="173"/>
      <c r="G3" s="173"/>
      <c r="H3" s="173"/>
      <c r="I3" s="173"/>
    </row>
    <row r="4" spans="1:9" ht="36" customHeight="1" x14ac:dyDescent="0.2">
      <c r="A4" s="3" t="s">
        <v>294</v>
      </c>
      <c r="B4" s="3" t="s">
        <v>295</v>
      </c>
      <c r="C4" s="3" t="s">
        <v>296</v>
      </c>
      <c r="D4" s="3" t="s">
        <v>297</v>
      </c>
      <c r="E4" s="3" t="s">
        <v>298</v>
      </c>
      <c r="F4" s="3" t="s">
        <v>299</v>
      </c>
      <c r="G4" s="3" t="s">
        <v>300</v>
      </c>
      <c r="H4" s="3" t="s">
        <v>301</v>
      </c>
      <c r="I4" s="3" t="s">
        <v>302</v>
      </c>
    </row>
    <row r="5" spans="1:9" ht="18" customHeight="1" x14ac:dyDescent="0.2">
      <c r="A5" s="24" t="s">
        <v>192</v>
      </c>
      <c r="B5" s="24" t="s">
        <v>303</v>
      </c>
      <c r="C5" s="24" t="s">
        <v>304</v>
      </c>
      <c r="D5" s="40">
        <v>117638</v>
      </c>
      <c r="E5" s="41">
        <v>0.1</v>
      </c>
      <c r="F5" s="40">
        <v>20000</v>
      </c>
      <c r="G5" s="41">
        <v>0.04</v>
      </c>
      <c r="H5" s="42">
        <f t="shared" ref="H5:H10" si="0">D5+D5*E5+F5</f>
        <v>149401.79999999999</v>
      </c>
      <c r="I5" s="167" t="s">
        <v>305</v>
      </c>
    </row>
    <row r="6" spans="1:9" ht="18" customHeight="1" x14ac:dyDescent="0.2">
      <c r="A6" s="24" t="s">
        <v>306</v>
      </c>
      <c r="B6" s="24" t="s">
        <v>307</v>
      </c>
      <c r="C6" s="24" t="s">
        <v>308</v>
      </c>
      <c r="D6" s="39">
        <v>175000</v>
      </c>
      <c r="E6" s="43">
        <v>0.15</v>
      </c>
      <c r="F6" s="39">
        <v>90000</v>
      </c>
      <c r="G6" s="43">
        <v>0.04</v>
      </c>
      <c r="H6" s="44">
        <f t="shared" si="0"/>
        <v>291250</v>
      </c>
      <c r="I6" s="167" t="s">
        <v>309</v>
      </c>
    </row>
    <row r="7" spans="1:9" ht="18" customHeight="1" x14ac:dyDescent="0.2">
      <c r="A7" s="24" t="s">
        <v>310</v>
      </c>
      <c r="B7" s="24" t="s">
        <v>311</v>
      </c>
      <c r="C7" s="24" t="s">
        <v>308</v>
      </c>
      <c r="D7" s="40">
        <v>190000</v>
      </c>
      <c r="E7" s="41">
        <v>0.15</v>
      </c>
      <c r="F7" s="40">
        <v>110000</v>
      </c>
      <c r="G7" s="41">
        <v>0.04</v>
      </c>
      <c r="H7" s="42">
        <f t="shared" si="0"/>
        <v>328500</v>
      </c>
      <c r="I7" s="167" t="s">
        <v>312</v>
      </c>
    </row>
    <row r="8" spans="1:9" ht="18" customHeight="1" x14ac:dyDescent="0.2">
      <c r="A8" s="24" t="s">
        <v>313</v>
      </c>
      <c r="B8" s="24" t="s">
        <v>314</v>
      </c>
      <c r="C8" s="24" t="s">
        <v>315</v>
      </c>
      <c r="D8" s="39">
        <v>195000</v>
      </c>
      <c r="E8" s="43">
        <v>0.15</v>
      </c>
      <c r="F8" s="39">
        <v>150000</v>
      </c>
      <c r="G8" s="43">
        <v>0.05</v>
      </c>
      <c r="H8" s="44">
        <f t="shared" si="0"/>
        <v>374250</v>
      </c>
      <c r="I8" s="167" t="s">
        <v>316</v>
      </c>
    </row>
    <row r="9" spans="1:9" ht="18" customHeight="1" x14ac:dyDescent="0.2">
      <c r="A9" s="24" t="s">
        <v>317</v>
      </c>
      <c r="B9" s="24" t="s">
        <v>318</v>
      </c>
      <c r="C9" s="24" t="s">
        <v>319</v>
      </c>
      <c r="D9" s="40">
        <v>155000</v>
      </c>
      <c r="E9" s="41">
        <v>0.1</v>
      </c>
      <c r="F9" s="40">
        <v>40000</v>
      </c>
      <c r="G9" s="41">
        <v>0.03</v>
      </c>
      <c r="H9" s="42">
        <f t="shared" si="0"/>
        <v>210500</v>
      </c>
      <c r="I9" s="167" t="s">
        <v>320</v>
      </c>
    </row>
    <row r="10" spans="1:9" ht="18" customHeight="1" x14ac:dyDescent="0.2">
      <c r="A10" s="24" t="s">
        <v>321</v>
      </c>
      <c r="B10" s="24" t="s">
        <v>322</v>
      </c>
      <c r="C10" s="24" t="s">
        <v>323</v>
      </c>
      <c r="D10" s="39">
        <v>140000</v>
      </c>
      <c r="E10" s="43">
        <v>0.05</v>
      </c>
      <c r="F10" s="39">
        <v>40000</v>
      </c>
      <c r="G10" s="43">
        <v>0.05</v>
      </c>
      <c r="H10" s="44">
        <f t="shared" si="0"/>
        <v>187000</v>
      </c>
      <c r="I10" s="167" t="s">
        <v>324</v>
      </c>
    </row>
    <row r="11" spans="1:9" ht="6" customHeight="1" x14ac:dyDescent="0.2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9.5" customHeight="1" x14ac:dyDescent="0.2">
      <c r="A12" s="185" t="s">
        <v>325</v>
      </c>
      <c r="B12" s="173"/>
      <c r="C12" s="173"/>
      <c r="D12" s="173"/>
      <c r="E12" s="173"/>
      <c r="F12" s="173"/>
      <c r="G12" s="173"/>
      <c r="H12" s="173"/>
      <c r="I12" s="173"/>
    </row>
    <row r="13" spans="1:9" ht="36" customHeight="1" x14ac:dyDescent="0.2">
      <c r="A13" s="2" t="s">
        <v>294</v>
      </c>
      <c r="B13" s="2" t="s">
        <v>295</v>
      </c>
      <c r="C13" s="2" t="s">
        <v>296</v>
      </c>
      <c r="D13" s="2" t="s">
        <v>297</v>
      </c>
      <c r="E13" s="2" t="s">
        <v>298</v>
      </c>
      <c r="F13" s="2" t="s">
        <v>299</v>
      </c>
      <c r="G13" s="2" t="s">
        <v>300</v>
      </c>
      <c r="H13" s="2" t="s">
        <v>301</v>
      </c>
      <c r="I13" s="2" t="s">
        <v>302</v>
      </c>
    </row>
    <row r="14" spans="1:9" ht="18" customHeight="1" x14ac:dyDescent="0.2">
      <c r="A14" s="24" t="s">
        <v>214</v>
      </c>
      <c r="B14" s="24" t="s">
        <v>326</v>
      </c>
      <c r="C14" s="24" t="s">
        <v>327</v>
      </c>
      <c r="D14" s="45">
        <v>220000</v>
      </c>
      <c r="E14" s="46">
        <v>0.1</v>
      </c>
      <c r="F14" s="45">
        <v>30000</v>
      </c>
      <c r="G14" s="46">
        <v>0.04</v>
      </c>
      <c r="H14" s="47">
        <f t="shared" ref="H14:H20" si="1">D14+D14*E14+F14</f>
        <v>272000</v>
      </c>
      <c r="I14" s="167" t="s">
        <v>328</v>
      </c>
    </row>
    <row r="15" spans="1:9" ht="18" customHeight="1" x14ac:dyDescent="0.2">
      <c r="A15" s="24" t="s">
        <v>329</v>
      </c>
      <c r="B15" s="24" t="s">
        <v>330</v>
      </c>
      <c r="C15" s="24" t="s">
        <v>327</v>
      </c>
      <c r="D15" s="39">
        <v>190000</v>
      </c>
      <c r="E15" s="43">
        <v>0.1</v>
      </c>
      <c r="F15" s="39">
        <v>50000</v>
      </c>
      <c r="G15" s="43">
        <v>0.03</v>
      </c>
      <c r="H15" s="44">
        <f t="shared" si="1"/>
        <v>259000</v>
      </c>
      <c r="I15" s="167" t="s">
        <v>331</v>
      </c>
    </row>
    <row r="16" spans="1:9" ht="18" customHeight="1" x14ac:dyDescent="0.2">
      <c r="A16" s="24" t="s">
        <v>332</v>
      </c>
      <c r="B16" s="24" t="s">
        <v>333</v>
      </c>
      <c r="C16" s="24" t="s">
        <v>334</v>
      </c>
      <c r="D16" s="45">
        <v>185000</v>
      </c>
      <c r="E16" s="46">
        <v>0.1</v>
      </c>
      <c r="F16" s="45">
        <v>60000</v>
      </c>
      <c r="G16" s="46">
        <v>0.04</v>
      </c>
      <c r="H16" s="47">
        <f t="shared" si="1"/>
        <v>263500</v>
      </c>
      <c r="I16" s="167" t="s">
        <v>335</v>
      </c>
    </row>
    <row r="17" spans="1:9" ht="18" customHeight="1" x14ac:dyDescent="0.2">
      <c r="A17" s="24" t="s">
        <v>336</v>
      </c>
      <c r="B17" s="24" t="s">
        <v>337</v>
      </c>
      <c r="C17" s="24" t="s">
        <v>327</v>
      </c>
      <c r="D17" s="39">
        <v>200000</v>
      </c>
      <c r="E17" s="43">
        <v>0.15</v>
      </c>
      <c r="F17" s="39">
        <v>80000</v>
      </c>
      <c r="G17" s="43">
        <v>0.04</v>
      </c>
      <c r="H17" s="44">
        <f t="shared" si="1"/>
        <v>310000</v>
      </c>
      <c r="I17" s="167" t="s">
        <v>338</v>
      </c>
    </row>
    <row r="18" spans="1:9" ht="18" customHeight="1" x14ac:dyDescent="0.2">
      <c r="A18" s="24" t="s">
        <v>339</v>
      </c>
      <c r="B18" s="24" t="s">
        <v>340</v>
      </c>
      <c r="C18" s="24" t="s">
        <v>327</v>
      </c>
      <c r="D18" s="45">
        <v>230000</v>
      </c>
      <c r="E18" s="46">
        <v>0.15</v>
      </c>
      <c r="F18" s="45">
        <v>120000</v>
      </c>
      <c r="G18" s="46">
        <v>0.04</v>
      </c>
      <c r="H18" s="47">
        <f t="shared" si="1"/>
        <v>384500</v>
      </c>
      <c r="I18" s="167" t="s">
        <v>341</v>
      </c>
    </row>
    <row r="19" spans="1:9" ht="18" customHeight="1" x14ac:dyDescent="0.2">
      <c r="A19" s="24" t="s">
        <v>342</v>
      </c>
      <c r="B19" s="24" t="s">
        <v>343</v>
      </c>
      <c r="C19" s="24" t="s">
        <v>327</v>
      </c>
      <c r="D19" s="39">
        <v>250000</v>
      </c>
      <c r="E19" s="43">
        <v>0.15</v>
      </c>
      <c r="F19" s="39">
        <v>150000</v>
      </c>
      <c r="G19" s="43">
        <v>0.05</v>
      </c>
      <c r="H19" s="44">
        <f t="shared" si="1"/>
        <v>437500</v>
      </c>
      <c r="I19" s="167" t="s">
        <v>344</v>
      </c>
    </row>
    <row r="20" spans="1:9" ht="18" customHeight="1" x14ac:dyDescent="0.2">
      <c r="A20" s="24" t="s">
        <v>345</v>
      </c>
      <c r="B20" s="24" t="s">
        <v>346</v>
      </c>
      <c r="C20" s="24" t="s">
        <v>327</v>
      </c>
      <c r="D20" s="45">
        <v>400000</v>
      </c>
      <c r="E20" s="46">
        <v>0</v>
      </c>
      <c r="F20" s="45">
        <v>100000</v>
      </c>
      <c r="G20" s="46">
        <v>0.05</v>
      </c>
      <c r="H20" s="47">
        <f t="shared" si="1"/>
        <v>500000</v>
      </c>
      <c r="I20" s="167" t="s">
        <v>347</v>
      </c>
    </row>
    <row r="21" spans="1:9" ht="6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9.5" customHeight="1" x14ac:dyDescent="0.2">
      <c r="A22" s="182" t="s">
        <v>348</v>
      </c>
      <c r="B22" s="173"/>
      <c r="C22" s="173"/>
      <c r="D22" s="173"/>
    </row>
    <row r="23" spans="1:9" ht="31.5" customHeight="1" x14ac:dyDescent="0.2">
      <c r="A23" s="37" t="s">
        <v>349</v>
      </c>
      <c r="B23" s="37" t="s">
        <v>350</v>
      </c>
      <c r="C23" s="37" t="s">
        <v>351</v>
      </c>
      <c r="D23" s="37" t="s">
        <v>352</v>
      </c>
    </row>
    <row r="24" spans="1:9" ht="18" customHeight="1" x14ac:dyDescent="0.2">
      <c r="A24" s="48" t="s">
        <v>353</v>
      </c>
      <c r="B24" s="49">
        <v>0</v>
      </c>
      <c r="C24" s="49">
        <f t="shared" ref="C24:C34" si="2">B24*12</f>
        <v>0</v>
      </c>
      <c r="D24" s="167" t="s">
        <v>354</v>
      </c>
    </row>
    <row r="25" spans="1:9" ht="18" customHeight="1" x14ac:dyDescent="0.2">
      <c r="A25" s="50" t="s">
        <v>355</v>
      </c>
      <c r="B25" s="39">
        <v>180.42</v>
      </c>
      <c r="C25" s="39">
        <f t="shared" si="2"/>
        <v>2165.04</v>
      </c>
      <c r="D25" s="167" t="s">
        <v>356</v>
      </c>
    </row>
    <row r="26" spans="1:9" ht="18" customHeight="1" x14ac:dyDescent="0.2">
      <c r="A26" s="48" t="s">
        <v>357</v>
      </c>
      <c r="B26" s="49">
        <v>356</v>
      </c>
      <c r="C26" s="49">
        <f t="shared" si="2"/>
        <v>4272</v>
      </c>
      <c r="D26" s="167" t="s">
        <v>358</v>
      </c>
    </row>
    <row r="27" spans="1:9" ht="18" customHeight="1" x14ac:dyDescent="0.2">
      <c r="A27" s="50" t="s">
        <v>234</v>
      </c>
      <c r="B27" s="39">
        <v>552.47</v>
      </c>
      <c r="C27" s="39">
        <f t="shared" si="2"/>
        <v>6629.64</v>
      </c>
      <c r="D27" s="167" t="s">
        <v>359</v>
      </c>
    </row>
    <row r="28" spans="1:9" ht="18" customHeight="1" x14ac:dyDescent="0.2">
      <c r="A28" s="48" t="s">
        <v>360</v>
      </c>
      <c r="B28" s="49">
        <v>795.84</v>
      </c>
      <c r="C28" s="49">
        <f t="shared" si="2"/>
        <v>9550.08</v>
      </c>
      <c r="D28" s="167" t="s">
        <v>361</v>
      </c>
    </row>
    <row r="29" spans="1:9" ht="18" customHeight="1" x14ac:dyDescent="0.2">
      <c r="A29" s="50" t="s">
        <v>362</v>
      </c>
      <c r="B29" s="39">
        <v>1132.9000000000001</v>
      </c>
      <c r="C29" s="39">
        <f t="shared" si="2"/>
        <v>13594.800000000001</v>
      </c>
      <c r="D29" s="167" t="s">
        <v>363</v>
      </c>
    </row>
    <row r="30" spans="1:9" ht="18" customHeight="1" x14ac:dyDescent="0.2">
      <c r="A30" s="48" t="s">
        <v>364</v>
      </c>
      <c r="B30" s="49">
        <v>1435.01</v>
      </c>
      <c r="C30" s="49">
        <f t="shared" si="2"/>
        <v>17220.12</v>
      </c>
      <c r="D30" s="167" t="s">
        <v>363</v>
      </c>
    </row>
    <row r="31" spans="1:9" ht="18" customHeight="1" x14ac:dyDescent="0.2">
      <c r="A31" s="50" t="s">
        <v>365</v>
      </c>
      <c r="B31" s="39">
        <v>1808.44</v>
      </c>
      <c r="C31" s="39">
        <f t="shared" si="2"/>
        <v>21701.279999999999</v>
      </c>
      <c r="D31" s="167" t="s">
        <v>363</v>
      </c>
    </row>
    <row r="32" spans="1:9" ht="18" customHeight="1" x14ac:dyDescent="0.2">
      <c r="A32" s="48" t="s">
        <v>366</v>
      </c>
      <c r="B32" s="49">
        <v>2102.14</v>
      </c>
      <c r="C32" s="49">
        <f t="shared" si="2"/>
        <v>25225.68</v>
      </c>
      <c r="D32" s="167" t="s">
        <v>363</v>
      </c>
    </row>
    <row r="33" spans="1:9" ht="18" customHeight="1" x14ac:dyDescent="0.2">
      <c r="A33" s="50" t="s">
        <v>367</v>
      </c>
      <c r="B33" s="39">
        <v>2362.3000000000002</v>
      </c>
      <c r="C33" s="39">
        <f t="shared" si="2"/>
        <v>28347.600000000002</v>
      </c>
      <c r="D33" s="167" t="s">
        <v>363</v>
      </c>
    </row>
    <row r="34" spans="1:9" ht="18" customHeight="1" x14ac:dyDescent="0.2">
      <c r="A34" s="48" t="s">
        <v>368</v>
      </c>
      <c r="B34" s="49">
        <v>3938.57</v>
      </c>
      <c r="C34" s="49">
        <f t="shared" si="2"/>
        <v>47262.840000000004</v>
      </c>
      <c r="D34" s="167" t="s">
        <v>369</v>
      </c>
    </row>
    <row r="35" spans="1:9" ht="6" customHeight="1" x14ac:dyDescent="0.2">
      <c r="A35" s="22"/>
      <c r="B35" s="22"/>
      <c r="C35" s="22"/>
      <c r="D35" s="22"/>
      <c r="E35" s="22"/>
      <c r="F35" s="22"/>
      <c r="G35" s="22"/>
      <c r="H35" s="22"/>
      <c r="I35" s="22"/>
    </row>
    <row r="36" spans="1:9" ht="19.5" customHeight="1" x14ac:dyDescent="0.2">
      <c r="A36" s="180" t="s">
        <v>370</v>
      </c>
      <c r="B36" s="173"/>
      <c r="C36" s="173"/>
      <c r="D36" s="173"/>
      <c r="E36" s="173"/>
      <c r="F36" s="173"/>
      <c r="G36" s="173"/>
      <c r="H36" s="173"/>
      <c r="I36" s="173"/>
    </row>
    <row r="37" spans="1:9" ht="15.75" customHeight="1" x14ac:dyDescent="0.2">
      <c r="A37" s="51" t="s">
        <v>371</v>
      </c>
      <c r="B37" s="52" t="s">
        <v>372</v>
      </c>
    </row>
    <row r="38" spans="1:9" ht="15.75" customHeight="1" x14ac:dyDescent="0.2">
      <c r="A38" s="51" t="s">
        <v>373</v>
      </c>
      <c r="B38" s="52" t="s">
        <v>374</v>
      </c>
    </row>
    <row r="39" spans="1:9" ht="15.75" customHeight="1" x14ac:dyDescent="0.2">
      <c r="A39" s="51" t="s">
        <v>375</v>
      </c>
      <c r="B39" s="52" t="s">
        <v>376</v>
      </c>
    </row>
  </sheetData>
  <mergeCells count="5">
    <mergeCell ref="A22:D22"/>
    <mergeCell ref="A36:I36"/>
    <mergeCell ref="A1:I1"/>
    <mergeCell ref="A3:I3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showGridLines="0" zoomScaleNormal="100" workbookViewId="0"/>
  </sheetViews>
  <sheetFormatPr baseColWidth="10" defaultColWidth="8.6640625" defaultRowHeight="15" customHeight="1" x14ac:dyDescent="0.2"/>
  <cols>
    <col min="1" max="1" width="14" customWidth="1"/>
    <col min="2" max="2" width="22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  <col min="8" max="8" width="14" customWidth="1"/>
    <col min="9" max="9" width="16" customWidth="1"/>
    <col min="10" max="10" width="14" customWidth="1"/>
    <col min="11" max="11" width="12" customWidth="1"/>
    <col min="12" max="12" width="44" customWidth="1"/>
  </cols>
  <sheetData>
    <row r="1" spans="1:12" ht="27.75" customHeight="1" x14ac:dyDescent="0.2">
      <c r="A1" s="186" t="s">
        <v>377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3" spans="1:12" ht="19.5" customHeight="1" x14ac:dyDescent="0.2">
      <c r="A3" s="185" t="s">
        <v>378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</row>
    <row r="4" spans="1:12" ht="39.75" customHeight="1" x14ac:dyDescent="0.2">
      <c r="A4" s="2" t="s">
        <v>379</v>
      </c>
      <c r="B4" s="2" t="s">
        <v>380</v>
      </c>
      <c r="C4" s="2" t="s">
        <v>381</v>
      </c>
      <c r="D4" s="2" t="s">
        <v>382</v>
      </c>
      <c r="E4" s="2" t="s">
        <v>383</v>
      </c>
      <c r="F4" s="2" t="s">
        <v>384</v>
      </c>
      <c r="G4" s="2" t="s">
        <v>385</v>
      </c>
      <c r="H4" s="2" t="s">
        <v>386</v>
      </c>
      <c r="I4" s="2" t="s">
        <v>387</v>
      </c>
      <c r="J4" s="2" t="s">
        <v>388</v>
      </c>
      <c r="K4" s="2" t="s">
        <v>389</v>
      </c>
      <c r="L4" s="2" t="s">
        <v>302</v>
      </c>
    </row>
    <row r="5" spans="1:12" ht="18" customHeight="1" x14ac:dyDescent="0.2">
      <c r="A5" s="53" t="s">
        <v>390</v>
      </c>
      <c r="B5" s="53" t="s">
        <v>391</v>
      </c>
      <c r="C5" s="53" t="s">
        <v>392</v>
      </c>
      <c r="D5" s="53" t="s">
        <v>393</v>
      </c>
      <c r="E5" s="45">
        <v>57000</v>
      </c>
      <c r="F5" s="45">
        <v>4992</v>
      </c>
      <c r="G5" s="54" t="s">
        <v>230</v>
      </c>
      <c r="H5" s="54" t="s">
        <v>230</v>
      </c>
      <c r="I5" s="45">
        <v>2800</v>
      </c>
      <c r="J5" s="46">
        <v>7.0000000000000007E-2</v>
      </c>
      <c r="K5" s="45">
        <v>125</v>
      </c>
      <c r="L5" s="26" t="s">
        <v>394</v>
      </c>
    </row>
    <row r="6" spans="1:12" ht="18" customHeight="1" x14ac:dyDescent="0.2">
      <c r="A6" s="55" t="s">
        <v>395</v>
      </c>
      <c r="B6" s="55" t="s">
        <v>396</v>
      </c>
      <c r="C6" s="55" t="s">
        <v>397</v>
      </c>
      <c r="D6" s="55" t="s">
        <v>393</v>
      </c>
      <c r="E6" s="39">
        <v>44000</v>
      </c>
      <c r="F6" s="39">
        <v>4992</v>
      </c>
      <c r="G6" s="56" t="s">
        <v>230</v>
      </c>
      <c r="H6" s="56" t="s">
        <v>230</v>
      </c>
      <c r="I6" s="39">
        <v>2600</v>
      </c>
      <c r="J6" s="43">
        <v>7.0000000000000007E-2</v>
      </c>
      <c r="K6" s="39">
        <v>135</v>
      </c>
      <c r="L6" s="26" t="s">
        <v>398</v>
      </c>
    </row>
    <row r="7" spans="1:12" ht="18" customHeight="1" x14ac:dyDescent="0.2">
      <c r="A7" s="53" t="s">
        <v>399</v>
      </c>
      <c r="B7" s="53" t="s">
        <v>400</v>
      </c>
      <c r="C7" s="53" t="s">
        <v>401</v>
      </c>
      <c r="D7" s="53" t="s">
        <v>402</v>
      </c>
      <c r="E7" s="45">
        <v>56340</v>
      </c>
      <c r="F7" s="45">
        <v>3513</v>
      </c>
      <c r="G7" s="54" t="s">
        <v>230</v>
      </c>
      <c r="H7" s="54" t="s">
        <v>230</v>
      </c>
      <c r="I7" s="45">
        <v>2400</v>
      </c>
      <c r="J7" s="46">
        <v>0.05</v>
      </c>
      <c r="K7" s="45">
        <v>90</v>
      </c>
      <c r="L7" s="26" t="s">
        <v>403</v>
      </c>
    </row>
    <row r="8" spans="1:12" ht="18" customHeight="1" x14ac:dyDescent="0.2">
      <c r="A8" s="55" t="s">
        <v>404</v>
      </c>
      <c r="B8" s="55" t="s">
        <v>405</v>
      </c>
      <c r="C8" s="55" t="s">
        <v>406</v>
      </c>
      <c r="D8" s="55" t="s">
        <v>407</v>
      </c>
      <c r="E8" s="39">
        <v>42900</v>
      </c>
      <c r="F8" s="39">
        <v>1400</v>
      </c>
      <c r="G8" s="56" t="s">
        <v>230</v>
      </c>
      <c r="H8" s="56" t="s">
        <v>230</v>
      </c>
      <c r="I8" s="39">
        <v>1200</v>
      </c>
      <c r="J8" s="43">
        <v>3.1E-2</v>
      </c>
      <c r="K8" s="39">
        <v>100</v>
      </c>
      <c r="L8" s="26" t="s">
        <v>408</v>
      </c>
    </row>
    <row r="9" spans="1:12" ht="18" customHeight="1" x14ac:dyDescent="0.2">
      <c r="A9" s="53" t="s">
        <v>409</v>
      </c>
      <c r="B9" s="53" t="s">
        <v>410</v>
      </c>
      <c r="C9" s="53" t="s">
        <v>411</v>
      </c>
      <c r="D9" s="53" t="s">
        <v>412</v>
      </c>
      <c r="E9" s="45">
        <v>38000</v>
      </c>
      <c r="F9" s="45">
        <v>3200</v>
      </c>
      <c r="G9" s="54" t="s">
        <v>230</v>
      </c>
      <c r="H9" s="54" t="s">
        <v>230</v>
      </c>
      <c r="I9" s="45">
        <v>2000</v>
      </c>
      <c r="J9" s="46">
        <v>0</v>
      </c>
      <c r="K9" s="45">
        <v>90</v>
      </c>
      <c r="L9" s="26" t="s">
        <v>413</v>
      </c>
    </row>
    <row r="10" spans="1:12" ht="18" customHeight="1" x14ac:dyDescent="0.2">
      <c r="A10" s="55" t="s">
        <v>414</v>
      </c>
      <c r="B10" s="55" t="s">
        <v>415</v>
      </c>
      <c r="C10" s="55" t="s">
        <v>416</v>
      </c>
      <c r="D10" s="55" t="s">
        <v>393</v>
      </c>
      <c r="E10" s="39">
        <v>39800</v>
      </c>
      <c r="F10" s="39">
        <v>1980</v>
      </c>
      <c r="G10" s="56" t="s">
        <v>230</v>
      </c>
      <c r="H10" s="56" t="s">
        <v>230</v>
      </c>
      <c r="I10" s="39">
        <v>1400</v>
      </c>
      <c r="J10" s="43">
        <v>7.0000000000000007E-2</v>
      </c>
      <c r="K10" s="39">
        <v>135</v>
      </c>
      <c r="L10" s="26" t="s">
        <v>417</v>
      </c>
    </row>
    <row r="11" spans="1:12" ht="18" customHeight="1" x14ac:dyDescent="0.2">
      <c r="A11" s="53" t="s">
        <v>418</v>
      </c>
      <c r="B11" s="53" t="s">
        <v>419</v>
      </c>
      <c r="C11" s="53" t="s">
        <v>420</v>
      </c>
      <c r="D11" s="53" t="s">
        <v>18</v>
      </c>
      <c r="E11" s="45">
        <v>13200</v>
      </c>
      <c r="F11" s="45">
        <v>0</v>
      </c>
      <c r="G11" s="57" t="s">
        <v>421</v>
      </c>
      <c r="H11" s="54" t="s">
        <v>230</v>
      </c>
      <c r="I11" s="45">
        <v>800</v>
      </c>
      <c r="J11" s="46">
        <v>0</v>
      </c>
      <c r="K11" s="45">
        <v>200</v>
      </c>
      <c r="L11" s="26" t="s">
        <v>422</v>
      </c>
    </row>
    <row r="12" spans="1:12" ht="18" customHeight="1" x14ac:dyDescent="0.2">
      <c r="A12" s="55" t="s">
        <v>423</v>
      </c>
      <c r="B12" s="55" t="s">
        <v>424</v>
      </c>
      <c r="C12" s="55" t="s">
        <v>425</v>
      </c>
      <c r="D12" s="55" t="s">
        <v>18</v>
      </c>
      <c r="E12" s="39">
        <v>25200</v>
      </c>
      <c r="F12" s="39">
        <v>0</v>
      </c>
      <c r="G12" s="58" t="s">
        <v>421</v>
      </c>
      <c r="H12" s="56" t="s">
        <v>230</v>
      </c>
      <c r="I12" s="39">
        <v>1600</v>
      </c>
      <c r="J12" s="43">
        <v>0</v>
      </c>
      <c r="K12" s="39">
        <v>25</v>
      </c>
      <c r="L12" s="26" t="s">
        <v>426</v>
      </c>
    </row>
    <row r="13" spans="1:12" ht="18" customHeight="1" x14ac:dyDescent="0.2">
      <c r="A13" s="53" t="s">
        <v>249</v>
      </c>
      <c r="B13" s="53" t="s">
        <v>427</v>
      </c>
      <c r="C13" s="53" t="s">
        <v>428</v>
      </c>
      <c r="D13" s="53" t="s">
        <v>428</v>
      </c>
      <c r="E13" s="45">
        <v>47000</v>
      </c>
      <c r="F13" s="45">
        <v>4992</v>
      </c>
      <c r="G13" s="54" t="s">
        <v>230</v>
      </c>
      <c r="H13" s="54" t="s">
        <v>230</v>
      </c>
      <c r="I13" s="45">
        <v>2500</v>
      </c>
      <c r="J13" s="46">
        <v>7.0000000000000007E-2</v>
      </c>
      <c r="K13" s="45">
        <v>0</v>
      </c>
      <c r="L13" s="26" t="s">
        <v>429</v>
      </c>
    </row>
    <row r="14" spans="1:12" ht="6" customHeight="1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15.75" customHeight="1" x14ac:dyDescent="0.2">
      <c r="A15" s="51" t="s">
        <v>430</v>
      </c>
      <c r="B15" s="52" t="s">
        <v>431</v>
      </c>
    </row>
  </sheetData>
  <mergeCells count="2">
    <mergeCell ref="A3:L3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92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C88" sqref="C88:D88"/>
    </sheetView>
  </sheetViews>
  <sheetFormatPr baseColWidth="10" defaultColWidth="8.6640625" defaultRowHeight="15" customHeight="1" x14ac:dyDescent="0.2"/>
  <cols>
    <col min="1" max="1" width="19.5" bestFit="1" customWidth="1"/>
    <col min="2" max="2" width="8.83203125" bestFit="1" customWidth="1"/>
    <col min="3" max="3" width="3.83203125" bestFit="1" customWidth="1"/>
    <col min="4" max="4" width="18" customWidth="1"/>
    <col min="5" max="12" width="14" customWidth="1"/>
    <col min="13" max="13" width="18" customWidth="1"/>
    <col min="14" max="21" width="14" customWidth="1"/>
    <col min="22" max="22" width="18" customWidth="1"/>
    <col min="23" max="34" width="14" customWidth="1"/>
  </cols>
  <sheetData>
    <row r="1" spans="1:34" ht="31.5" customHeight="1" x14ac:dyDescent="0.2">
      <c r="A1" s="198" t="s">
        <v>432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</row>
    <row r="2" spans="1:34" ht="15.75" customHeight="1" x14ac:dyDescent="0.2">
      <c r="A2" s="175" t="s">
        <v>433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</row>
    <row r="3" spans="1:34" ht="21.75" customHeight="1" x14ac:dyDescent="0.2">
      <c r="A3" s="205"/>
      <c r="B3" s="173"/>
      <c r="C3" s="173"/>
      <c r="D3" s="206" t="s">
        <v>434</v>
      </c>
      <c r="E3" s="173"/>
      <c r="F3" s="173"/>
      <c r="G3" s="173"/>
      <c r="H3" s="173"/>
      <c r="I3" s="173"/>
      <c r="J3" s="173"/>
      <c r="K3" s="173"/>
      <c r="L3" s="173"/>
      <c r="M3" s="195" t="s">
        <v>435</v>
      </c>
      <c r="N3" s="173"/>
      <c r="O3" s="173"/>
      <c r="P3" s="173"/>
      <c r="Q3" s="173"/>
      <c r="R3" s="173"/>
      <c r="S3" s="173"/>
      <c r="T3" s="173"/>
      <c r="U3" s="173"/>
      <c r="V3" s="194" t="s">
        <v>436</v>
      </c>
      <c r="W3" s="173"/>
      <c r="X3" s="173"/>
      <c r="Y3" s="173"/>
      <c r="Z3" s="173"/>
      <c r="AA3" s="173"/>
      <c r="AB3" s="173"/>
      <c r="AC3" s="173"/>
      <c r="AD3" s="173"/>
      <c r="AE3" s="193" t="s">
        <v>437</v>
      </c>
      <c r="AF3" s="173"/>
      <c r="AG3" s="173"/>
      <c r="AH3" s="173"/>
    </row>
    <row r="4" spans="1:34" ht="39.75" customHeight="1" x14ac:dyDescent="0.2">
      <c r="A4" s="1" t="s">
        <v>438</v>
      </c>
      <c r="B4" s="1" t="s">
        <v>439</v>
      </c>
      <c r="C4" s="1" t="s">
        <v>440</v>
      </c>
      <c r="D4" s="59" t="str">
        <f>HYPERLINK("#ASSUMPTIONS!A4","Status")</f>
        <v>Status</v>
      </c>
      <c r="E4" s="59" t="str">
        <f>HYPERLINK("#ASSUMPTIONS!B42","Gross Income")</f>
        <v>Gross Income</v>
      </c>
      <c r="F4" s="59" t="str">
        <f>HYPERLINK("#ASSUMPTIONS!B31","Tax-Free Income")</f>
        <v>Tax-Free Income</v>
      </c>
      <c r="G4" s="59" t="str">
        <f>HYPERLINK("#ASSUMPTIONS!B63","Taxes")</f>
        <v>Taxes</v>
      </c>
      <c r="H4" s="59" t="str">
        <f>HYPERLINK("#ASSUMPTIONS!B25","Healthcare")</f>
        <v>Healthcare</v>
      </c>
      <c r="I4" s="59" t="str">
        <f>HYPERLINK("#ASSUMPTIONS!B68","Living Expenses")</f>
        <v>Living Expenses</v>
      </c>
      <c r="J4" s="59" t="str">
        <f>HYPERLINK("#ASSUMPTIONS!B53","Ret. Savings")</f>
        <v>Ret. Savings</v>
      </c>
      <c r="K4" s="59" t="str">
        <f>HYPERLINK("#ASSUMPTIONS!A4","Net Cash Flow")</f>
        <v>Net Cash Flow</v>
      </c>
      <c r="L4" s="59" t="str">
        <f>HYPERLINK("#ASSUMPTIONS!B53","Portfolio")</f>
        <v>Portfolio</v>
      </c>
      <c r="M4" s="60" t="str">
        <f>HYPERLINK("#ASSUMPTIONS!A4","Status")</f>
        <v>Status</v>
      </c>
      <c r="N4" s="60" t="str">
        <f>HYPERLINK("#ASSUMPTIONS!B42","Gross Income")</f>
        <v>Gross Income</v>
      </c>
      <c r="O4" s="60" t="str">
        <f>HYPERLINK("#ASSUMPTIONS!B31","Tax-Free Income")</f>
        <v>Tax-Free Income</v>
      </c>
      <c r="P4" s="60" t="str">
        <f>HYPERLINK("#ASSUMPTIONS!B63","Taxes")</f>
        <v>Taxes</v>
      </c>
      <c r="Q4" s="60" t="str">
        <f>HYPERLINK("#ASSUMPTIONS!B25","Healthcare")</f>
        <v>Healthcare</v>
      </c>
      <c r="R4" s="60" t="str">
        <f>HYPERLINK("#ASSUMPTIONS!B68","Living Expenses")</f>
        <v>Living Expenses</v>
      </c>
      <c r="S4" s="60" t="str">
        <f>HYPERLINK("#ASSUMPTIONS!B53","Ret. Savings")</f>
        <v>Ret. Savings</v>
      </c>
      <c r="T4" s="60" t="str">
        <f>HYPERLINK("#ASSUMPTIONS!A4","Net Cash Flow")</f>
        <v>Net Cash Flow</v>
      </c>
      <c r="U4" s="60" t="str">
        <f>HYPERLINK("#ASSUMPTIONS!B53","Portfolio")</f>
        <v>Portfolio</v>
      </c>
      <c r="V4" s="61" t="str">
        <f>HYPERLINK("#ASSUMPTIONS!A4","Status")</f>
        <v>Status</v>
      </c>
      <c r="W4" s="61" t="str">
        <f>HYPERLINK("#ASSUMPTIONS!B42","Gross Income")</f>
        <v>Gross Income</v>
      </c>
      <c r="X4" s="61" t="str">
        <f>HYPERLINK("#ASSUMPTIONS!B31","Tax-Free Income")</f>
        <v>Tax-Free Income</v>
      </c>
      <c r="Y4" s="61" t="str">
        <f>HYPERLINK("#ASSUMPTIONS!B63","Taxes")</f>
        <v>Taxes</v>
      </c>
      <c r="Z4" s="61" t="str">
        <f>HYPERLINK("#ASSUMPTIONS!B25","Healthcare")</f>
        <v>Healthcare</v>
      </c>
      <c r="AA4" s="61" t="str">
        <f>HYPERLINK("#ASSUMPTIONS!B68","Living Expenses")</f>
        <v>Living Expenses</v>
      </c>
      <c r="AB4" s="61" t="str">
        <f>HYPERLINK("#ASSUMPTIONS!B53","Ret. Savings")</f>
        <v>Ret. Savings</v>
      </c>
      <c r="AC4" s="61" t="str">
        <f>HYPERLINK("#ASSUMPTIONS!A4","Net Cash Flow")</f>
        <v>Net Cash Flow</v>
      </c>
      <c r="AD4" s="61" t="str">
        <f>HYPERLINK("#ASSUMPTIONS!B53","Portfolio")</f>
        <v>Portfolio</v>
      </c>
      <c r="AE4" s="62" t="s">
        <v>441</v>
      </c>
      <c r="AF4" s="62" t="s">
        <v>442</v>
      </c>
      <c r="AG4" s="62" t="s">
        <v>443</v>
      </c>
      <c r="AH4" s="62" t="s">
        <v>444</v>
      </c>
    </row>
    <row r="5" spans="1:34" ht="18" customHeight="1" x14ac:dyDescent="0.2">
      <c r="A5" s="63">
        <v>0</v>
      </c>
      <c r="B5" s="64">
        <v>2026</v>
      </c>
      <c r="C5" s="63">
        <v>36</v>
      </c>
      <c r="D5" s="65" t="s">
        <v>445</v>
      </c>
      <c r="E5" s="45">
        <f>ASSUMPTIONS!$B$12*12*(1+ASSUMPTIONS!$B$52)^0</f>
        <v>67099.92</v>
      </c>
      <c r="F5" s="45">
        <f>(ASSUMPTIONS!$B$13+ASSUMPTIONS!$B$14)*12*(1+ASSUMPTIONS!$B$52)^0</f>
        <v>38623.919999999998</v>
      </c>
      <c r="G5" s="45">
        <f>MAX((E5-F5)*(ASSUMPTIONS!$B$64+ASSUMPTIONS!$B$67),0)</f>
        <v>5410.4400000000005</v>
      </c>
      <c r="H5" s="45">
        <v>0</v>
      </c>
      <c r="I5" s="45">
        <f>ASSUMPTIONS!$B$70*12*(1+ASSUMPTIONS!$B$71)^0</f>
        <v>28725.839999999997</v>
      </c>
      <c r="J5" s="45">
        <f>ASSUMPTIONS!$B$60*12</f>
        <v>22800</v>
      </c>
      <c r="K5" s="45">
        <f t="shared" ref="K5:K36" si="0">E5+F5-G5-H5-I5-J5</f>
        <v>48787.56</v>
      </c>
      <c r="L5" s="45">
        <f>ASSUMPTIONS!$B$58*(1+ASSUMPTIONS!$B$59)+J5+MAX(K5,0)*0.2</f>
        <v>228367.51199999999</v>
      </c>
      <c r="M5" s="66" t="s">
        <v>445</v>
      </c>
      <c r="N5" s="40">
        <f>ASSUMPTIONS!$B$12*12*(1+ASSUMPTIONS!$B$52)^0</f>
        <v>67099.92</v>
      </c>
      <c r="O5" s="40">
        <f>(ASSUMPTIONS!$B$13+ASSUMPTIONS!$B$14)*12*(1+ASSUMPTIONS!$B$52)^0</f>
        <v>38623.919999999998</v>
      </c>
      <c r="P5" s="40">
        <f>MAX((N5-O5)*(ASSUMPTIONS!$C$64+ASSUMPTIONS!$C$67),0)</f>
        <v>5410.4400000000005</v>
      </c>
      <c r="Q5" s="40">
        <v>0</v>
      </c>
      <c r="R5" s="40">
        <f>ASSUMPTIONS!$B$70*12*(1+ASSUMPTIONS!$B$71)^0</f>
        <v>28725.839999999997</v>
      </c>
      <c r="S5" s="40">
        <f>ASSUMPTIONS!$C$60*12</f>
        <v>22800</v>
      </c>
      <c r="T5" s="40">
        <f t="shared" ref="T5:T36" si="1">N5+O5-P5-Q5-R5-S5</f>
        <v>48787.56</v>
      </c>
      <c r="U5" s="40">
        <f>ASSUMPTIONS!$C$58*(1+ASSUMPTIONS!$C$59)+S5+MAX(T5,0)*0.2</f>
        <v>228367.51199999999</v>
      </c>
      <c r="V5" s="67" t="s">
        <v>445</v>
      </c>
      <c r="W5" s="68">
        <f>ASSUMPTIONS!$B$12*12*(1+ASSUMPTIONS!$B$52)^0</f>
        <v>67099.92</v>
      </c>
      <c r="X5" s="68">
        <f>(ASSUMPTIONS!$B$13+ASSUMPTIONS!$B$14)*12*(1+ASSUMPTIONS!$B$52)^0</f>
        <v>38623.919999999998</v>
      </c>
      <c r="Y5" s="68">
        <f>MAX((W5-X5)*(ASSUMPTIONS!$D$64+ASSUMPTIONS!$D$67),0)</f>
        <v>5410.4400000000005</v>
      </c>
      <c r="Z5" s="68">
        <v>0</v>
      </c>
      <c r="AA5" s="68">
        <f>ASSUMPTIONS!$B$70*12*(1+ASSUMPTIONS!$B$71)^0</f>
        <v>28725.839999999997</v>
      </c>
      <c r="AB5" s="68">
        <f>ASSUMPTIONS!$D$60*12</f>
        <v>22800</v>
      </c>
      <c r="AC5" s="68">
        <f t="shared" ref="AC5:AC36" si="2">W5+X5-Y5-Z5-AA5-AB5</f>
        <v>48787.56</v>
      </c>
      <c r="AD5" s="68">
        <f>ASSUMPTIONS!$D$58*(1+ASSUMPTIONS!$D$59)+AB5+MAX(AC5,0)*0.2</f>
        <v>228367.51199999999</v>
      </c>
      <c r="AE5" s="69">
        <f t="shared" ref="AE5:AE36" si="3">(E5+F5)-(N5+O5)</f>
        <v>0</v>
      </c>
      <c r="AF5" s="69">
        <f t="shared" ref="AF5:AF36" si="4">(E5+F5)-(W5+X5)</f>
        <v>0</v>
      </c>
      <c r="AG5" s="69">
        <f t="shared" ref="AG5:AG36" si="5">L5-U5</f>
        <v>0</v>
      </c>
      <c r="AH5" s="69">
        <f t="shared" ref="AH5:AH36" si="6">L5-AD5</f>
        <v>0</v>
      </c>
    </row>
    <row r="6" spans="1:34" ht="18" customHeight="1" x14ac:dyDescent="0.2">
      <c r="A6" s="63">
        <v>1</v>
      </c>
      <c r="B6" s="64">
        <v>2027</v>
      </c>
      <c r="C6" s="63">
        <v>37</v>
      </c>
      <c r="D6" s="70" t="s">
        <v>445</v>
      </c>
      <c r="E6" s="39">
        <f>ASSUMPTIONS!$B$12*12*(1+ASSUMPTIONS!$B$52)^1</f>
        <v>68777.417999999991</v>
      </c>
      <c r="F6" s="39">
        <f>(ASSUMPTIONS!$B$13+ASSUMPTIONS!$B$14)*12*(1+ASSUMPTIONS!$B$52)^1</f>
        <v>39589.517999999996</v>
      </c>
      <c r="G6" s="39">
        <f>MAX((E6-F6)*(ASSUMPTIONS!$B$64+ASSUMPTIONS!$B$67),0)</f>
        <v>5545.7009999999991</v>
      </c>
      <c r="H6" s="39">
        <v>0</v>
      </c>
      <c r="I6" s="39">
        <f>ASSUMPTIONS!$B$70*12*(1+ASSUMPTIONS!$B$71)^1</f>
        <v>29587.615199999997</v>
      </c>
      <c r="J6" s="39">
        <f>ASSUMPTIONS!$B$60*12</f>
        <v>22800</v>
      </c>
      <c r="K6" s="39">
        <f t="shared" si="0"/>
        <v>50433.619799999986</v>
      </c>
      <c r="L6" s="39">
        <f>L5*(1+ASSUMPTIONS!$B$59)+J6+MAX(K6,0)*0.2</f>
        <v>277239.96179999993</v>
      </c>
      <c r="M6" s="70" t="s">
        <v>445</v>
      </c>
      <c r="N6" s="39">
        <f>ASSUMPTIONS!$B$12*12*(1+ASSUMPTIONS!$B$52)^1</f>
        <v>68777.417999999991</v>
      </c>
      <c r="O6" s="39">
        <f>(ASSUMPTIONS!$B$13+ASSUMPTIONS!$B$14)*12*(1+ASSUMPTIONS!$B$52)^1</f>
        <v>39589.517999999996</v>
      </c>
      <c r="P6" s="39">
        <f>MAX((N6-O6)*(ASSUMPTIONS!$C$64+ASSUMPTIONS!$C$67),0)</f>
        <v>5545.7009999999991</v>
      </c>
      <c r="Q6" s="39">
        <v>0</v>
      </c>
      <c r="R6" s="39">
        <f>ASSUMPTIONS!$B$70*12*(1+ASSUMPTIONS!$B$71)^1</f>
        <v>29587.615199999997</v>
      </c>
      <c r="S6" s="39">
        <f>ASSUMPTIONS!$C$60*12</f>
        <v>22800</v>
      </c>
      <c r="T6" s="39">
        <f t="shared" si="1"/>
        <v>50433.619799999986</v>
      </c>
      <c r="U6" s="39">
        <f>U5*(1+ASSUMPTIONS!$C$59)+S6+MAX(T6,0)*0.2</f>
        <v>277239.96179999993</v>
      </c>
      <c r="V6" s="70" t="s">
        <v>445</v>
      </c>
      <c r="W6" s="39">
        <f>ASSUMPTIONS!$B$12*12*(1+ASSUMPTIONS!$B$52)^1</f>
        <v>68777.417999999991</v>
      </c>
      <c r="X6" s="39">
        <f>(ASSUMPTIONS!$B$13+ASSUMPTIONS!$B$14)*12*(1+ASSUMPTIONS!$B$52)^1</f>
        <v>39589.517999999996</v>
      </c>
      <c r="Y6" s="39">
        <f>MAX((W6-X6)*(ASSUMPTIONS!$D$64+ASSUMPTIONS!$D$67),0)</f>
        <v>5545.7009999999991</v>
      </c>
      <c r="Z6" s="39">
        <v>0</v>
      </c>
      <c r="AA6" s="39">
        <f>ASSUMPTIONS!$B$70*12*(1+ASSUMPTIONS!$B$71)^1</f>
        <v>29587.615199999997</v>
      </c>
      <c r="AB6" s="39">
        <f>ASSUMPTIONS!$D$60*12</f>
        <v>22800</v>
      </c>
      <c r="AC6" s="39">
        <f t="shared" si="2"/>
        <v>50433.619799999986</v>
      </c>
      <c r="AD6" s="39">
        <f>AD5*(1+ASSUMPTIONS!$D$59)+AB6+MAX(AC6,0)*0.2</f>
        <v>277239.96179999993</v>
      </c>
      <c r="AE6" s="39">
        <f t="shared" si="3"/>
        <v>0</v>
      </c>
      <c r="AF6" s="39">
        <f t="shared" si="4"/>
        <v>0</v>
      </c>
      <c r="AG6" s="39">
        <f t="shared" si="5"/>
        <v>0</v>
      </c>
      <c r="AH6" s="39">
        <f t="shared" si="6"/>
        <v>0</v>
      </c>
    </row>
    <row r="7" spans="1:34" ht="18" customHeight="1" x14ac:dyDescent="0.2">
      <c r="A7" s="63">
        <v>2</v>
      </c>
      <c r="B7" s="64">
        <v>2028</v>
      </c>
      <c r="C7" s="63">
        <v>38</v>
      </c>
      <c r="D7" s="65" t="s">
        <v>445</v>
      </c>
      <c r="E7" s="45">
        <f>ASSUMPTIONS!$B$12*12*(1+ASSUMPTIONS!$B$52)^2</f>
        <v>70496.853449999995</v>
      </c>
      <c r="F7" s="45">
        <f>(ASSUMPTIONS!$B$13+ASSUMPTIONS!$B$14)*12*(1+ASSUMPTIONS!$B$52)^2</f>
        <v>40579.255949999992</v>
      </c>
      <c r="G7" s="45">
        <f>MAX((E7-F7)*(ASSUMPTIONS!$B$64+ASSUMPTIONS!$B$67),0)</f>
        <v>5684.3435250000011</v>
      </c>
      <c r="H7" s="45">
        <v>0</v>
      </c>
      <c r="I7" s="45">
        <f>ASSUMPTIONS!$B$70*12*(1+ASSUMPTIONS!$B$71)^2</f>
        <v>30475.243655999995</v>
      </c>
      <c r="J7" s="45">
        <f>ASSUMPTIONS!$B$60*12</f>
        <v>22800</v>
      </c>
      <c r="K7" s="45">
        <f t="shared" si="0"/>
        <v>52116.522218999991</v>
      </c>
      <c r="L7" s="45">
        <f>L6*(1+ASSUMPTIONS!$B$59)+J7+MAX(K7,0)*0.2</f>
        <v>329870.06356979994</v>
      </c>
      <c r="M7" s="71" t="s">
        <v>446</v>
      </c>
      <c r="N7" s="40">
        <f>ASSUMPTIONS!$C$47*(1+ASSUMPTIONS!$B$51)^0</f>
        <v>175000</v>
      </c>
      <c r="O7" s="40">
        <f>ASSUMPTIONS!$C$33*(1+ASSUMPTIONS!$C$34)^0*12</f>
        <v>6629.64</v>
      </c>
      <c r="P7" s="40">
        <f>MAX((N7-O7)*(ASSUMPTIONS!$C$65+ASSUMPTIONS!$C$67),0)</f>
        <v>48827.404399999999</v>
      </c>
      <c r="Q7" s="40">
        <f>ASSUMPTIONS!$C$28*(1+ASSUMPTIONS!$C$29)^0</f>
        <v>3000</v>
      </c>
      <c r="R7" s="40">
        <f>ASSUMPTIONS!$B$70*12*(1+ASSUMPTIONS!$B$71)^2</f>
        <v>30475.243655999995</v>
      </c>
      <c r="S7" s="40">
        <f>ASSUMPTIONS!$C$61*12</f>
        <v>6000</v>
      </c>
      <c r="T7" s="40">
        <f t="shared" si="1"/>
        <v>93326.991944000023</v>
      </c>
      <c r="U7" s="40">
        <f>U6*(1+ASSUMPTIONS!$C$59)+S7+MAX(T7,0)*0.2</f>
        <v>321312.15751479991</v>
      </c>
      <c r="V7" s="72" t="s">
        <v>447</v>
      </c>
      <c r="W7" s="68">
        <v>0</v>
      </c>
      <c r="X7" s="68">
        <f>ASSUMPTIONS!$D$33*12</f>
        <v>6629.64</v>
      </c>
      <c r="Y7" s="68">
        <v>0</v>
      </c>
      <c r="Z7" s="68">
        <f>ASSUMPTIONS!$D$30</f>
        <v>3000</v>
      </c>
      <c r="AA7" s="68">
        <f>ASSUMPTIONS!$B$70*12*(1+ASSUMPTIONS!$B$71)^2</f>
        <v>30475.243655999995</v>
      </c>
      <c r="AB7" s="68">
        <f>ASSUMPTIONS!$D$62*12</f>
        <v>0</v>
      </c>
      <c r="AC7" s="68">
        <f t="shared" si="2"/>
        <v>-26845.603655999996</v>
      </c>
      <c r="AD7" s="68">
        <f>AD6*(1+ASSUMPTIONS!$D$59)+AB7+MAX(AC7,0)*0.2</f>
        <v>296646.75912599993</v>
      </c>
      <c r="AE7" s="69">
        <f t="shared" si="3"/>
        <v>-70553.530600000027</v>
      </c>
      <c r="AF7" s="69">
        <f t="shared" si="4"/>
        <v>104446.46939999999</v>
      </c>
      <c r="AG7" s="69">
        <f t="shared" si="5"/>
        <v>8557.9060550000286</v>
      </c>
      <c r="AH7" s="69">
        <f t="shared" si="6"/>
        <v>33223.304443800007</v>
      </c>
    </row>
    <row r="8" spans="1:34" ht="18" customHeight="1" x14ac:dyDescent="0.2">
      <c r="A8" s="63">
        <v>3</v>
      </c>
      <c r="B8" s="64">
        <v>2029</v>
      </c>
      <c r="C8" s="63">
        <v>39</v>
      </c>
      <c r="D8" s="70" t="s">
        <v>445</v>
      </c>
      <c r="E8" s="39">
        <f>ASSUMPTIONS!$B$12*12*(1+ASSUMPTIONS!$B$52)^3</f>
        <v>72259.274786249996</v>
      </c>
      <c r="F8" s="39">
        <f>(ASSUMPTIONS!$B$13+ASSUMPTIONS!$B$14)*12*(1+ASSUMPTIONS!$B$52)^3</f>
        <v>41593.737348749994</v>
      </c>
      <c r="G8" s="39">
        <f>MAX((E8-F8)*(ASSUMPTIONS!$B$64+ASSUMPTIONS!$B$67),0)</f>
        <v>5826.4521131250003</v>
      </c>
      <c r="H8" s="39">
        <v>0</v>
      </c>
      <c r="I8" s="39">
        <f>ASSUMPTIONS!$B$70*12*(1+ASSUMPTIONS!$B$71)^3</f>
        <v>31389.500965679996</v>
      </c>
      <c r="J8" s="39">
        <f>ASSUMPTIONS!$B$60*12</f>
        <v>22800</v>
      </c>
      <c r="K8" s="39">
        <f t="shared" si="0"/>
        <v>53837.059056194994</v>
      </c>
      <c r="L8" s="39">
        <f>L7*(1+ASSUMPTIONS!$B$59)+J8+MAX(K8,0)*0.2</f>
        <v>386528.37983092491</v>
      </c>
      <c r="M8" s="70" t="s">
        <v>446</v>
      </c>
      <c r="N8" s="39">
        <f>ASSUMPTIONS!$C$47*(1+ASSUMPTIONS!$B$51)^1</f>
        <v>182000</v>
      </c>
      <c r="O8" s="39">
        <f>ASSUMPTIONS!$C$33*(1+ASSUMPTIONS!$C$34)^1*12</f>
        <v>6815.2699200000006</v>
      </c>
      <c r="P8" s="39">
        <f>MAX((N8-O8)*(ASSUMPTIONS!$C$65+ASSUMPTIONS!$C$67),0)</f>
        <v>50803.57172320001</v>
      </c>
      <c r="Q8" s="39">
        <f>ASSUMPTIONS!$C$28*(1+ASSUMPTIONS!$C$29)^1</f>
        <v>3240</v>
      </c>
      <c r="R8" s="39">
        <f>ASSUMPTIONS!$B$70*12*(1+ASSUMPTIONS!$B$71)^3</f>
        <v>31389.500965679996</v>
      </c>
      <c r="S8" s="39">
        <f>ASSUMPTIONS!$C$61*12</f>
        <v>6000</v>
      </c>
      <c r="T8" s="39">
        <f t="shared" si="1"/>
        <v>97382.197231119993</v>
      </c>
      <c r="U8" s="39">
        <f>U7*(1+ASSUMPTIONS!$C$59)+S8+MAX(T8,0)*0.2</f>
        <v>369280.44798705995</v>
      </c>
      <c r="V8" s="73" t="s">
        <v>448</v>
      </c>
      <c r="W8" s="39">
        <f>ASSUMPTIONS!$D$46</f>
        <v>47000</v>
      </c>
      <c r="X8" s="39">
        <f>ASSUMPTIONS!$D$33*(1+ASSUMPTIONS!$D$34)^1*12+ASSUMPTIONS!$D$38*12+ASSUMPTIONS!$D$39</f>
        <v>67719.269920000006</v>
      </c>
      <c r="Y8" s="39">
        <f>MAX(W8*0.1,0)</f>
        <v>4700</v>
      </c>
      <c r="Z8" s="39">
        <v>0</v>
      </c>
      <c r="AA8" s="39">
        <f>ASSUMPTIONS!$B$70*12*(1+ASSUMPTIONS!$B$71)^3</f>
        <v>31389.500965679996</v>
      </c>
      <c r="AB8" s="39">
        <f>ASSUMPTIONS!$D$62*12</f>
        <v>0</v>
      </c>
      <c r="AC8" s="39">
        <f t="shared" si="2"/>
        <v>78629.76895432001</v>
      </c>
      <c r="AD8" s="39">
        <f>AD7*(1+ASSUMPTIONS!$D$59)+AB8+MAX(AC8,0)*0.2</f>
        <v>333137.98605568393</v>
      </c>
      <c r="AE8" s="39">
        <f t="shared" si="3"/>
        <v>-74962.257784999994</v>
      </c>
      <c r="AF8" s="39">
        <f t="shared" si="4"/>
        <v>-866.25778500000888</v>
      </c>
      <c r="AG8" s="39">
        <f t="shared" si="5"/>
        <v>17247.931843864964</v>
      </c>
      <c r="AH8" s="39">
        <f t="shared" si="6"/>
        <v>53390.393775240984</v>
      </c>
    </row>
    <row r="9" spans="1:34" ht="18" customHeight="1" x14ac:dyDescent="0.2">
      <c r="A9" s="63">
        <v>4</v>
      </c>
      <c r="B9" s="64">
        <v>2030</v>
      </c>
      <c r="C9" s="63">
        <v>40</v>
      </c>
      <c r="D9" s="65" t="s">
        <v>445</v>
      </c>
      <c r="E9" s="45">
        <f>ASSUMPTIONS!$B$12*12*(1+ASSUMPTIONS!$B$52)^4</f>
        <v>74065.756655906225</v>
      </c>
      <c r="F9" s="45">
        <f>(ASSUMPTIONS!$B$13+ASSUMPTIONS!$B$14)*12*(1+ASSUMPTIONS!$B$52)^4</f>
        <v>42633.580782468736</v>
      </c>
      <c r="G9" s="45">
        <f>MAX((E9-F9)*(ASSUMPTIONS!$B$64+ASSUMPTIONS!$B$67),0)</f>
        <v>5972.113415953123</v>
      </c>
      <c r="H9" s="45">
        <v>0</v>
      </c>
      <c r="I9" s="45">
        <f>ASSUMPTIONS!$B$70*12*(1+ASSUMPTIONS!$B$71)^4</f>
        <v>32331.185994650394</v>
      </c>
      <c r="J9" s="45">
        <f>ASSUMPTIONS!$B$60*12</f>
        <v>22800</v>
      </c>
      <c r="K9" s="45">
        <f t="shared" si="0"/>
        <v>55596.038027771443</v>
      </c>
      <c r="L9" s="45">
        <f>L8*(1+ASSUMPTIONS!$B$59)+J9+MAX(K9,0)*0.2</f>
        <v>447504.57402464398</v>
      </c>
      <c r="M9" s="66" t="s">
        <v>446</v>
      </c>
      <c r="N9" s="40">
        <f>ASSUMPTIONS!$C$47*(1+ASSUMPTIONS!$B$51)^2</f>
        <v>189280.00000000003</v>
      </c>
      <c r="O9" s="40">
        <f>ASSUMPTIONS!$C$33*(1+ASSUMPTIONS!$C$34)^2*12</f>
        <v>7006.0974777600004</v>
      </c>
      <c r="P9" s="40">
        <f>MAX((N9-O9)*(ASSUMPTIONS!$C$65+ASSUMPTIONS!$C$67),0)</f>
        <v>52859.431731449615</v>
      </c>
      <c r="Q9" s="40">
        <f>ASSUMPTIONS!$C$28*(1+ASSUMPTIONS!$C$29)^2</f>
        <v>3499.2000000000003</v>
      </c>
      <c r="R9" s="40">
        <f>ASSUMPTIONS!$B$70*12*(1+ASSUMPTIONS!$B$71)^4</f>
        <v>32331.185994650394</v>
      </c>
      <c r="S9" s="40">
        <f>ASSUMPTIONS!$C$61*12</f>
        <v>6000</v>
      </c>
      <c r="T9" s="40">
        <f t="shared" si="1"/>
        <v>101596.27975166</v>
      </c>
      <c r="U9" s="40">
        <f>U8*(1+ASSUMPTIONS!$C$59)+S9+MAX(T9,0)*0.2</f>
        <v>421449.33529648616</v>
      </c>
      <c r="V9" s="67" t="s">
        <v>448</v>
      </c>
      <c r="W9" s="68">
        <f>ASSUMPTIONS!$D$46</f>
        <v>47000</v>
      </c>
      <c r="X9" s="68">
        <f>ASSUMPTIONS!$D$33*(1+ASSUMPTIONS!$D$34)^2*12+ASSUMPTIONS!$D$38*12+ASSUMPTIONS!$D$39</f>
        <v>67910.097477760006</v>
      </c>
      <c r="Y9" s="68">
        <f>MAX(W9*0.1,0)</f>
        <v>4700</v>
      </c>
      <c r="Z9" s="68">
        <v>0</v>
      </c>
      <c r="AA9" s="68">
        <f>ASSUMPTIONS!$B$70*12*(1+ASSUMPTIONS!$B$71)^4</f>
        <v>32331.185994650394</v>
      </c>
      <c r="AB9" s="68">
        <f>ASSUMPTIONS!$D$62*12</f>
        <v>0</v>
      </c>
      <c r="AC9" s="68">
        <f t="shared" si="2"/>
        <v>77878.911483109609</v>
      </c>
      <c r="AD9" s="68">
        <f>AD8*(1+ASSUMPTIONS!$D$59)+AB9+MAX(AC9,0)*0.2</f>
        <v>372033.42737620376</v>
      </c>
      <c r="AE9" s="69">
        <f t="shared" si="3"/>
        <v>-79586.760039385059</v>
      </c>
      <c r="AF9" s="69">
        <f t="shared" si="4"/>
        <v>1789.2399606149556</v>
      </c>
      <c r="AG9" s="69">
        <f t="shared" si="5"/>
        <v>26055.238728157827</v>
      </c>
      <c r="AH9" s="69">
        <f t="shared" si="6"/>
        <v>75471.146648440219</v>
      </c>
    </row>
    <row r="10" spans="1:34" ht="18" customHeight="1" x14ac:dyDescent="0.2">
      <c r="A10" s="63">
        <v>5</v>
      </c>
      <c r="B10" s="64">
        <v>2031</v>
      </c>
      <c r="C10" s="63">
        <v>41</v>
      </c>
      <c r="D10" s="70" t="s">
        <v>445</v>
      </c>
      <c r="E10" s="39">
        <f>ASSUMPTIONS!$B$12*12*(1+ASSUMPTIONS!$B$52)^5</f>
        <v>75917.400572303886</v>
      </c>
      <c r="F10" s="39">
        <f>(ASSUMPTIONS!$B$13+ASSUMPTIONS!$B$14)*12*(1+ASSUMPTIONS!$B$52)^5</f>
        <v>43699.420302030456</v>
      </c>
      <c r="G10" s="39">
        <f>MAX((E10-F10)*(ASSUMPTIONS!$B$64+ASSUMPTIONS!$B$67),0)</f>
        <v>6121.4162513519523</v>
      </c>
      <c r="H10" s="39">
        <v>0</v>
      </c>
      <c r="I10" s="39">
        <f>ASSUMPTIONS!$B$70*12*(1+ASSUMPTIONS!$B$71)^5</f>
        <v>33301.121574489902</v>
      </c>
      <c r="J10" s="39">
        <f>ASSUMPTIONS!$B$60*12</f>
        <v>22800</v>
      </c>
      <c r="K10" s="39">
        <f t="shared" si="0"/>
        <v>57394.283048492478</v>
      </c>
      <c r="L10" s="39">
        <f>L9*(1+ASSUMPTIONS!$B$59)+J10+MAX(K10,0)*0.2</f>
        <v>513108.75081606756</v>
      </c>
      <c r="M10" s="70" t="s">
        <v>446</v>
      </c>
      <c r="N10" s="39">
        <f>ASSUMPTIONS!$C$47*(1+ASSUMPTIONS!$B$51)^3</f>
        <v>196851.20000000001</v>
      </c>
      <c r="O10" s="39">
        <f>ASSUMPTIONS!$C$33*(1+ASSUMPTIONS!$C$34)^3*12</f>
        <v>7202.2682071372801</v>
      </c>
      <c r="P10" s="39">
        <f>MAX((N10-O10)*(ASSUMPTIONS!$C$65+ASSUMPTIONS!$C$67),0)</f>
        <v>54998.190219930199</v>
      </c>
      <c r="Q10" s="39">
        <f>ASSUMPTIONS!$C$28*(1+ASSUMPTIONS!$C$29)^3</f>
        <v>3779.1360000000004</v>
      </c>
      <c r="R10" s="39">
        <f>ASSUMPTIONS!$B$70*12*(1+ASSUMPTIONS!$B$71)^5</f>
        <v>33301.121574489902</v>
      </c>
      <c r="S10" s="39">
        <f>ASSUMPTIONS!$C$61*12</f>
        <v>6000</v>
      </c>
      <c r="T10" s="39">
        <f t="shared" si="1"/>
        <v>105975.02041271719</v>
      </c>
      <c r="U10" s="39">
        <f>U9*(1+ASSUMPTIONS!$C$59)+S10+MAX(T10,0)*0.2</f>
        <v>478145.79284978361</v>
      </c>
      <c r="V10" s="70" t="s">
        <v>448</v>
      </c>
      <c r="W10" s="39">
        <f>ASSUMPTIONS!$D$46</f>
        <v>47000</v>
      </c>
      <c r="X10" s="39">
        <f>ASSUMPTIONS!$D$33*(1+ASSUMPTIONS!$D$34)^3*12+ASSUMPTIONS!$D$38*12+ASSUMPTIONS!$D$39</f>
        <v>68106.268207137284</v>
      </c>
      <c r="Y10" s="39">
        <f>MAX(W10*0.1,0)</f>
        <v>4700</v>
      </c>
      <c r="Z10" s="39">
        <v>0</v>
      </c>
      <c r="AA10" s="39">
        <f>ASSUMPTIONS!$B$70*12*(1+ASSUMPTIONS!$B$71)^5</f>
        <v>33301.121574489902</v>
      </c>
      <c r="AB10" s="39">
        <f>ASSUMPTIONS!$D$62*12</f>
        <v>0</v>
      </c>
      <c r="AC10" s="39">
        <f t="shared" si="2"/>
        <v>77105.146632647375</v>
      </c>
      <c r="AD10" s="39">
        <f>AD9*(1+ASSUMPTIONS!$D$59)+AB10+MAX(AC10,0)*0.2</f>
        <v>413496.79661906755</v>
      </c>
      <c r="AE10" s="39">
        <f t="shared" si="3"/>
        <v>-84436.647332802939</v>
      </c>
      <c r="AF10" s="39">
        <f t="shared" si="4"/>
        <v>4510.5526671970583</v>
      </c>
      <c r="AG10" s="39">
        <f t="shared" si="5"/>
        <v>34962.957966283953</v>
      </c>
      <c r="AH10" s="39">
        <f t="shared" si="6"/>
        <v>99611.954197000014</v>
      </c>
    </row>
    <row r="11" spans="1:34" ht="18" customHeight="1" x14ac:dyDescent="0.2">
      <c r="A11" s="63">
        <v>6</v>
      </c>
      <c r="B11" s="64">
        <v>2032</v>
      </c>
      <c r="C11" s="63">
        <v>42</v>
      </c>
      <c r="D11" s="65" t="s">
        <v>445</v>
      </c>
      <c r="E11" s="45">
        <f>ASSUMPTIONS!$B$12*12*(1+ASSUMPTIONS!$B$52)^6</f>
        <v>77815.335586611473</v>
      </c>
      <c r="F11" s="45">
        <f>(ASSUMPTIONS!$B$13+ASSUMPTIONS!$B$14)*12*(1+ASSUMPTIONS!$B$52)^6</f>
        <v>44791.905809581214</v>
      </c>
      <c r="G11" s="45">
        <f>MAX((E11-F11)*(ASSUMPTIONS!$B$64+ASSUMPTIONS!$B$67),0)</f>
        <v>6274.4516576357491</v>
      </c>
      <c r="H11" s="45">
        <v>0</v>
      </c>
      <c r="I11" s="45">
        <f>ASSUMPTIONS!$B$70*12*(1+ASSUMPTIONS!$B$71)^6</f>
        <v>34300.155221724606</v>
      </c>
      <c r="J11" s="45">
        <f>ASSUMPTIONS!$B$60*12</f>
        <v>22800</v>
      </c>
      <c r="K11" s="45">
        <f t="shared" si="0"/>
        <v>59232.634516832346</v>
      </c>
      <c r="L11" s="45">
        <f>L10*(1+ASSUMPTIONS!$B$59)+J11+MAX(K11,0)*0.2</f>
        <v>583672.89027655881</v>
      </c>
      <c r="M11" s="66" t="s">
        <v>446</v>
      </c>
      <c r="N11" s="40">
        <f>ASSUMPTIONS!$C$47*(1+ASSUMPTIONS!$B$51)^4</f>
        <v>204725.24800000005</v>
      </c>
      <c r="O11" s="40">
        <f>ASSUMPTIONS!$C$33*(1+ASSUMPTIONS!$C$34)^4*12</f>
        <v>7403.9317169371243</v>
      </c>
      <c r="P11" s="40">
        <f>MAX((N11-O11)*(ASSUMPTIONS!$C$65+ASSUMPTIONS!$C$67),0)</f>
        <v>57223.181722088251</v>
      </c>
      <c r="Q11" s="40">
        <f>ASSUMPTIONS!$C$28*(1+ASSUMPTIONS!$C$29)^4</f>
        <v>4081.4668800000009</v>
      </c>
      <c r="R11" s="40">
        <f>ASSUMPTIONS!$B$70*12*(1+ASSUMPTIONS!$B$71)^6</f>
        <v>34300.155221724606</v>
      </c>
      <c r="S11" s="40">
        <f>ASSUMPTIONS!$C$61*12</f>
        <v>6000</v>
      </c>
      <c r="T11" s="40">
        <f t="shared" si="1"/>
        <v>110524.37589312434</v>
      </c>
      <c r="U11" s="40">
        <f>U10*(1+ASSUMPTIONS!$C$59)+S11+MAX(T11,0)*0.2</f>
        <v>539720.87352789333</v>
      </c>
      <c r="V11" s="67" t="s">
        <v>448</v>
      </c>
      <c r="W11" s="68">
        <f>ASSUMPTIONS!$D$46</f>
        <v>47000</v>
      </c>
      <c r="X11" s="68">
        <f>ASSUMPTIONS!$D$33*(1+ASSUMPTIONS!$D$34)^4*12+ASSUMPTIONS!$D$38*12+ASSUMPTIONS!$D$39</f>
        <v>68307.931716937121</v>
      </c>
      <c r="Y11" s="68">
        <f>MAX(W11*0.1,0)</f>
        <v>4700</v>
      </c>
      <c r="Z11" s="68">
        <v>0</v>
      </c>
      <c r="AA11" s="68">
        <f>ASSUMPTIONS!$B$70*12*(1+ASSUMPTIONS!$B$71)^6</f>
        <v>34300.155221724606</v>
      </c>
      <c r="AB11" s="68">
        <f>ASSUMPTIONS!$D$62*12</f>
        <v>0</v>
      </c>
      <c r="AC11" s="68">
        <f t="shared" si="2"/>
        <v>76307.776495212514</v>
      </c>
      <c r="AD11" s="68">
        <f>AD10*(1+ASSUMPTIONS!$D$59)+AB11+MAX(AC11,0)*0.2</f>
        <v>457703.12768144481</v>
      </c>
      <c r="AE11" s="69">
        <f t="shared" si="3"/>
        <v>-89521.938320744492</v>
      </c>
      <c r="AF11" s="69">
        <f t="shared" si="4"/>
        <v>7299.3096792555734</v>
      </c>
      <c r="AG11" s="69">
        <f t="shared" si="5"/>
        <v>43952.016748665483</v>
      </c>
      <c r="AH11" s="69">
        <f t="shared" si="6"/>
        <v>125969.76259511401</v>
      </c>
    </row>
    <row r="12" spans="1:34" ht="18" customHeight="1" x14ac:dyDescent="0.2">
      <c r="A12" s="63">
        <v>7</v>
      </c>
      <c r="B12" s="64">
        <v>2033</v>
      </c>
      <c r="C12" s="63">
        <v>43</v>
      </c>
      <c r="D12" s="70" t="s">
        <v>445</v>
      </c>
      <c r="E12" s="39">
        <f>ASSUMPTIONS!$B$12*12*(1+ASSUMPTIONS!$B$52)^7</f>
        <v>79760.718976276767</v>
      </c>
      <c r="F12" s="39">
        <f>(ASSUMPTIONS!$B$13+ASSUMPTIONS!$B$14)*12*(1+ASSUMPTIONS!$B$52)^7</f>
        <v>45911.703454820745</v>
      </c>
      <c r="G12" s="39">
        <f>MAX((E12-F12)*(ASSUMPTIONS!$B$64+ASSUMPTIONS!$B$67),0)</f>
        <v>6431.3129490766441</v>
      </c>
      <c r="H12" s="39">
        <v>0</v>
      </c>
      <c r="I12" s="39">
        <f>ASSUMPTIONS!$B$70*12*(1+ASSUMPTIONS!$B$71)^7</f>
        <v>35329.15987837634</v>
      </c>
      <c r="J12" s="39">
        <f>ASSUMPTIONS!$B$60*12</f>
        <v>22800</v>
      </c>
      <c r="K12" s="39">
        <f t="shared" si="0"/>
        <v>61111.94960364452</v>
      </c>
      <c r="L12" s="39">
        <f>L11*(1+ASSUMPTIONS!$B$59)+J12+MAX(K12,0)*0.2</f>
        <v>659552.38251664687</v>
      </c>
      <c r="M12" s="70" t="s">
        <v>446</v>
      </c>
      <c r="N12" s="39">
        <f>ASSUMPTIONS!$C$47*(1+ASSUMPTIONS!$B$51)^5</f>
        <v>212914.25792000006</v>
      </c>
      <c r="O12" s="39">
        <f>ASSUMPTIONS!$C$33*(1+ASSUMPTIONS!$C$34)^5*12</f>
        <v>7611.2418050113638</v>
      </c>
      <c r="P12" s="39">
        <f>MAX((N12-O12)*(ASSUMPTIONS!$C$65+ASSUMPTIONS!$C$67),0)</f>
        <v>59537.874673346727</v>
      </c>
      <c r="Q12" s="39">
        <f>ASSUMPTIONS!$C$28*(1+ASSUMPTIONS!$C$29)^5</f>
        <v>4407.9842304000013</v>
      </c>
      <c r="R12" s="39">
        <f>ASSUMPTIONS!$B$70*12*(1+ASSUMPTIONS!$B$71)^7</f>
        <v>35329.15987837634</v>
      </c>
      <c r="S12" s="39">
        <f>ASSUMPTIONS!$C$61*12</f>
        <v>6000</v>
      </c>
      <c r="T12" s="39">
        <f t="shared" si="1"/>
        <v>115250.48094288836</v>
      </c>
      <c r="U12" s="39">
        <f>U11*(1+ASSUMPTIONS!$C$59)+S12+MAX(T12,0)*0.2</f>
        <v>606551.43086342362</v>
      </c>
      <c r="V12" s="70" t="s">
        <v>448</v>
      </c>
      <c r="W12" s="39">
        <f>ASSUMPTIONS!$D$46</f>
        <v>47000</v>
      </c>
      <c r="X12" s="39">
        <f>ASSUMPTIONS!$D$33*(1+ASSUMPTIONS!$D$34)^5*12+ASSUMPTIONS!$D$38*12+ASSUMPTIONS!$D$39</f>
        <v>68515.241805011363</v>
      </c>
      <c r="Y12" s="39">
        <f>MAX(W12*0.1,0)</f>
        <v>4700</v>
      </c>
      <c r="Z12" s="39">
        <v>0</v>
      </c>
      <c r="AA12" s="39">
        <f>ASSUMPTIONS!$B$70*12*(1+ASSUMPTIONS!$B$71)^7</f>
        <v>35329.15987837634</v>
      </c>
      <c r="AB12" s="39">
        <f>ASSUMPTIONS!$D$62*12</f>
        <v>0</v>
      </c>
      <c r="AC12" s="39">
        <f t="shared" si="2"/>
        <v>75486.08192663503</v>
      </c>
      <c r="AD12" s="39">
        <f>AD11*(1+ASSUMPTIONS!$D$59)+AB12+MAX(AC12,0)*0.2</f>
        <v>504839.56300447293</v>
      </c>
      <c r="AE12" s="39">
        <f t="shared" si="3"/>
        <v>-94853.077293913928</v>
      </c>
      <c r="AF12" s="39">
        <f t="shared" si="4"/>
        <v>10157.180626086149</v>
      </c>
      <c r="AG12" s="39">
        <f t="shared" si="5"/>
        <v>53000.951653223252</v>
      </c>
      <c r="AH12" s="39">
        <f t="shared" si="6"/>
        <v>154712.81951217394</v>
      </c>
    </row>
    <row r="13" spans="1:34" ht="18" customHeight="1" x14ac:dyDescent="0.2">
      <c r="A13" s="63">
        <v>8</v>
      </c>
      <c r="B13" s="64">
        <v>2034</v>
      </c>
      <c r="C13" s="63">
        <v>44</v>
      </c>
      <c r="D13" s="74" t="s">
        <v>449</v>
      </c>
      <c r="E13" s="45">
        <f>ASSUMPTIONS!$B$12*12*(1+ASSUMPTIONS!$B$52)^8*0.75+ASSUMPTIONS!$B$21*12*0.25</f>
        <v>72215.052713012759</v>
      </c>
      <c r="F13" s="45">
        <f>(ASSUMPTIONS!$B$13+ASSUMPTIONS!$B$14)*12*(1+ASSUMPTIONS!$B$52)^8*0.75+ASSUMPTIONS!$B$33*12*0.25</f>
        <v>36952.032030893446</v>
      </c>
      <c r="G13" s="45">
        <f>MAX((E13-F13)*(ASSUMPTIONS!$B$64+ASSUMPTIONS!$B$67),0)</f>
        <v>6699.9739296026692</v>
      </c>
      <c r="H13" s="45">
        <f>ASSUMPTIONS!$B$26*0.25</f>
        <v>45.5</v>
      </c>
      <c r="I13" s="45">
        <f>ASSUMPTIONS!$B$70*12*(1+ASSUMPTIONS!$B$71)^8</f>
        <v>36389.034674727627</v>
      </c>
      <c r="J13" s="45">
        <f>ASSUMPTIONS!$B$62*12</f>
        <v>0</v>
      </c>
      <c r="K13" s="45">
        <f t="shared" si="0"/>
        <v>66032.576139575918</v>
      </c>
      <c r="L13" s="45">
        <f>L12*(1+ASSUMPTIONS!$B$59)+J13+MAX(K13,0)*0.2</f>
        <v>718927.56452072738</v>
      </c>
      <c r="M13" s="66" t="s">
        <v>446</v>
      </c>
      <c r="N13" s="40">
        <f>ASSUMPTIONS!$C$47*(1+ASSUMPTIONS!$B$51)^6</f>
        <v>221430.82823680007</v>
      </c>
      <c r="O13" s="40">
        <f>ASSUMPTIONS!$C$33*(1+ASSUMPTIONS!$C$34)^6*12</f>
        <v>7824.3565755516811</v>
      </c>
      <c r="P13" s="40">
        <f>MAX((N13-O13)*(ASSUMPTIONS!$C$65+ASSUMPTIONS!$C$67),0)</f>
        <v>61945.876781762039</v>
      </c>
      <c r="Q13" s="40">
        <f>ASSUMPTIONS!$C$28*(1+ASSUMPTIONS!$C$29)^6</f>
        <v>4760.6229688320018</v>
      </c>
      <c r="R13" s="40">
        <f>ASSUMPTIONS!$B$70*12*(1+ASSUMPTIONS!$B$71)^8</f>
        <v>36389.034674727627</v>
      </c>
      <c r="S13" s="40">
        <f>ASSUMPTIONS!$C$61*12</f>
        <v>6000</v>
      </c>
      <c r="T13" s="40">
        <f t="shared" si="1"/>
        <v>120159.65038703009</v>
      </c>
      <c r="U13" s="40">
        <f>U12*(1+ASSUMPTIONS!$C$59)+S13+MAX(T13,0)*0.2</f>
        <v>679041.96110126935</v>
      </c>
      <c r="V13" s="72" t="s">
        <v>327</v>
      </c>
      <c r="W13" s="68">
        <f>ASSUMPTIONS!$D$48*(1+ASSUMPTIONS!$B$51)^0</f>
        <v>230000</v>
      </c>
      <c r="X13" s="68">
        <f>ASSUMPTIONS!$D$33*(1+ASSUMPTIONS!$D$34)^6*12</f>
        <v>7824.3565755516811</v>
      </c>
      <c r="Y13" s="68">
        <f>MAX((W13-X13)*(ASSUMPTIONS!$D$66+ASSUMPTIONS!$D$67),0)</f>
        <v>68874.449461578974</v>
      </c>
      <c r="Z13" s="68">
        <f>ASSUMPTIONS!$D$28*(1+ASSUMPTIONS!$D$29)^6</f>
        <v>0</v>
      </c>
      <c r="AA13" s="68">
        <f>ASSUMPTIONS!$B$70*12*(1+ASSUMPTIONS!$B$71)^8</f>
        <v>36389.034674727627</v>
      </c>
      <c r="AB13" s="68">
        <f>ASSUMPTIONS!$D$61*12</f>
        <v>6000</v>
      </c>
      <c r="AC13" s="68">
        <f t="shared" si="2"/>
        <v>126560.87243924508</v>
      </c>
      <c r="AD13" s="68">
        <f>AD12*(1+ASSUMPTIONS!$D$59)+AB13+MAX(AC13,0)*0.2</f>
        <v>571490.5069026351</v>
      </c>
      <c r="AE13" s="69">
        <f t="shared" si="3"/>
        <v>-120088.10006844554</v>
      </c>
      <c r="AF13" s="69">
        <f t="shared" si="4"/>
        <v>-128657.27183164547</v>
      </c>
      <c r="AG13" s="69">
        <f t="shared" si="5"/>
        <v>39885.603419458028</v>
      </c>
      <c r="AH13" s="69">
        <f t="shared" si="6"/>
        <v>147437.05761809228</v>
      </c>
    </row>
    <row r="14" spans="1:34" ht="18" customHeight="1" x14ac:dyDescent="0.2">
      <c r="A14" s="63">
        <v>9</v>
      </c>
      <c r="B14" s="64">
        <v>2035</v>
      </c>
      <c r="C14" s="63">
        <v>45</v>
      </c>
      <c r="D14" s="73" t="s">
        <v>448</v>
      </c>
      <c r="E14" s="39">
        <f>ASSUMPTIONS!$B$21*(1+ASSUMPTIONS!$B$23)^1*12+ASSUMPTIONS!$B$46</f>
        <v>91816.687999999995</v>
      </c>
      <c r="F14" s="39">
        <f>ASSUMPTIONS!$B$33*(1+ASSUMPTIONS!$B$34)^1*12+ASSUMPTIONS!$B$38*12+ASSUMPTIONS!$B$39</f>
        <v>67719.269920000006</v>
      </c>
      <c r="G14" s="39">
        <f>MAX((E14-F14)*(ASSUMPTIONS!$B$64+ASSUMPTIONS!$B$67),0)</f>
        <v>4578.5094351999978</v>
      </c>
      <c r="H14" s="39">
        <f>ASSUMPTIONS!$B$26*(1+ASSUMPTIONS!$B$27)^1</f>
        <v>187.46</v>
      </c>
      <c r="I14" s="39">
        <f>ASSUMPTIONS!$B$70*12*(1+ASSUMPTIONS!$B$71)^9</f>
        <v>37480.705714969459</v>
      </c>
      <c r="J14" s="39">
        <f>ASSUMPTIONS!$B$62*12</f>
        <v>0</v>
      </c>
      <c r="K14" s="39">
        <f t="shared" si="0"/>
        <v>117289.28276983058</v>
      </c>
      <c r="L14" s="39">
        <f>L13*(1+ASSUMPTIONS!$B$59)+J14+MAX(K14,0)*0.2</f>
        <v>792710.35059114441</v>
      </c>
      <c r="M14" s="70" t="s">
        <v>446</v>
      </c>
      <c r="N14" s="39">
        <f>ASSUMPTIONS!$C$47*(1+ASSUMPTIONS!$B$51)^7</f>
        <v>230288.06136627204</v>
      </c>
      <c r="O14" s="39">
        <f>ASSUMPTIONS!$C$33*(1+ASSUMPTIONS!$C$34)^7*12</f>
        <v>8043.4385596671291</v>
      </c>
      <c r="P14" s="39">
        <f>MAX((N14-O14)*(ASSUMPTIONS!$C$65+ASSUMPTIONS!$C$67),0)</f>
        <v>64450.940613915438</v>
      </c>
      <c r="Q14" s="39">
        <f>ASSUMPTIONS!$C$28*(1+ASSUMPTIONS!$C$29)^7</f>
        <v>5141.4728063385619</v>
      </c>
      <c r="R14" s="39">
        <f>ASSUMPTIONS!$B$70*12*(1+ASSUMPTIONS!$B$71)^9</f>
        <v>37480.705714969459</v>
      </c>
      <c r="S14" s="39">
        <f>ASSUMPTIONS!$C$61*12</f>
        <v>6000</v>
      </c>
      <c r="T14" s="39">
        <f t="shared" si="1"/>
        <v>125258.38079071569</v>
      </c>
      <c r="U14" s="39">
        <f>U13*(1+ASSUMPTIONS!$C$59)+S14+MAX(T14,0)*0.2</f>
        <v>757626.57453650131</v>
      </c>
      <c r="V14" s="70" t="s">
        <v>327</v>
      </c>
      <c r="W14" s="39">
        <f>ASSUMPTIONS!$D$48*(1+ASSUMPTIONS!$B$51)^1</f>
        <v>239200</v>
      </c>
      <c r="X14" s="39">
        <f>ASSUMPTIONS!$D$33*(1+ASSUMPTIONS!$D$34)^7*12</f>
        <v>8043.4385596671291</v>
      </c>
      <c r="Y14" s="39">
        <f>MAX((W14-X14)*(ASSUMPTIONS!$D$66+ASSUMPTIONS!$D$67),0)</f>
        <v>71658.534046503191</v>
      </c>
      <c r="Z14" s="39">
        <f>ASSUMPTIONS!$D$28*(1+ASSUMPTIONS!$D$29)^7</f>
        <v>0</v>
      </c>
      <c r="AA14" s="39">
        <f>ASSUMPTIONS!$B$70*12*(1+ASSUMPTIONS!$B$71)^9</f>
        <v>37480.705714969459</v>
      </c>
      <c r="AB14" s="39">
        <f>ASSUMPTIONS!$D$61*12</f>
        <v>6000</v>
      </c>
      <c r="AC14" s="39">
        <f t="shared" si="2"/>
        <v>132104.19879819447</v>
      </c>
      <c r="AD14" s="39">
        <f>AD13*(1+ASSUMPTIONS!$D$59)+AB14+MAX(AC14,0)*0.2</f>
        <v>643915.68214545853</v>
      </c>
      <c r="AE14" s="39">
        <f t="shared" si="3"/>
        <v>-78795.542005939147</v>
      </c>
      <c r="AF14" s="39">
        <f t="shared" si="4"/>
        <v>-87707.480639667105</v>
      </c>
      <c r="AG14" s="39">
        <f t="shared" si="5"/>
        <v>35083.776054643095</v>
      </c>
      <c r="AH14" s="39">
        <f t="shared" si="6"/>
        <v>148794.66844568588</v>
      </c>
    </row>
    <row r="15" spans="1:34" ht="18" customHeight="1" x14ac:dyDescent="0.2">
      <c r="A15" s="63">
        <v>10</v>
      </c>
      <c r="B15" s="64">
        <v>2036</v>
      </c>
      <c r="C15" s="63">
        <v>46</v>
      </c>
      <c r="D15" s="65" t="s">
        <v>448</v>
      </c>
      <c r="E15" s="45">
        <f>ASSUMPTIONS!$B$21*(1+ASSUMPTIONS!$B$23)^2*12+ASSUMPTIONS!$B$46</f>
        <v>93071.555263999995</v>
      </c>
      <c r="F15" s="45">
        <f>ASSUMPTIONS!$B$33*(1+ASSUMPTIONS!$B$34)^2*12+ASSUMPTIONS!$B$38*12+ASSUMPTIONS!$B$39</f>
        <v>67910.097477760006</v>
      </c>
      <c r="G15" s="45">
        <f>MAX((E15-F15)*(ASSUMPTIONS!$B$64+ASSUMPTIONS!$B$67),0)</f>
        <v>4780.6769793855983</v>
      </c>
      <c r="H15" s="45">
        <f>ASSUMPTIONS!$B$26*(1+ASSUMPTIONS!$B$27)^2</f>
        <v>193.0838</v>
      </c>
      <c r="I15" s="45">
        <f>ASSUMPTIONS!$B$70*12*(1+ASSUMPTIONS!$B$71)^10</f>
        <v>38605.12688641854</v>
      </c>
      <c r="J15" s="45">
        <f>ASSUMPTIONS!$B$62*12</f>
        <v>0</v>
      </c>
      <c r="K15" s="45">
        <f t="shared" si="0"/>
        <v>117402.76507595587</v>
      </c>
      <c r="L15" s="45">
        <f>L14*(1+ASSUMPTIONS!$B$59)+J15+MAX(K15,0)*0.2</f>
        <v>871680.62814771582</v>
      </c>
      <c r="M15" s="66" t="s">
        <v>446</v>
      </c>
      <c r="N15" s="40">
        <f>ASSUMPTIONS!$C$47*(1+ASSUMPTIONS!$B$51)^8</f>
        <v>239499.58382092297</v>
      </c>
      <c r="O15" s="40">
        <f>ASSUMPTIONS!$C$33*(1+ASSUMPTIONS!$C$34)^8*12</f>
        <v>8268.6548393378089</v>
      </c>
      <c r="P15" s="40">
        <f>MAX((N15-O15)*(ASSUMPTIONS!$C$65+ASSUMPTIONS!$C$67),0)</f>
        <v>67056.9694046597</v>
      </c>
      <c r="Q15" s="40">
        <f>ASSUMPTIONS!$C$28*(1+ASSUMPTIONS!$C$29)^8</f>
        <v>5552.7906308456468</v>
      </c>
      <c r="R15" s="40">
        <f>ASSUMPTIONS!$B$70*12*(1+ASSUMPTIONS!$B$71)^10</f>
        <v>38605.12688641854</v>
      </c>
      <c r="S15" s="40">
        <f>ASSUMPTIONS!$C$61*12</f>
        <v>6000</v>
      </c>
      <c r="T15" s="40">
        <f t="shared" si="1"/>
        <v>130553.3517383369</v>
      </c>
      <c r="U15" s="40">
        <f>U14*(1+ASSUMPTIONS!$C$59)+S15+MAX(T15,0)*0.2</f>
        <v>842771.10510172392</v>
      </c>
      <c r="V15" s="67" t="s">
        <v>327</v>
      </c>
      <c r="W15" s="68">
        <f>ASSUMPTIONS!$D$48*(1+ASSUMPTIONS!$B$51)^2</f>
        <v>248768.00000000003</v>
      </c>
      <c r="X15" s="68">
        <f>ASSUMPTIONS!$D$33*(1+ASSUMPTIONS!$D$34)^8*12</f>
        <v>8268.6548393378089</v>
      </c>
      <c r="Y15" s="68">
        <f>MAX((W15-X15)*(ASSUMPTIONS!$D$66+ASSUMPTIONS!$D$67),0)</f>
        <v>74554.796999805287</v>
      </c>
      <c r="Z15" s="68">
        <f>ASSUMPTIONS!$D$28*(1+ASSUMPTIONS!$D$29)^8</f>
        <v>0</v>
      </c>
      <c r="AA15" s="68">
        <f>ASSUMPTIONS!$B$70*12*(1+ASSUMPTIONS!$B$71)^10</f>
        <v>38605.12688641854</v>
      </c>
      <c r="AB15" s="68">
        <f>ASSUMPTIONS!$D$61*12</f>
        <v>6000</v>
      </c>
      <c r="AC15" s="68">
        <f t="shared" si="2"/>
        <v>137876.73095311399</v>
      </c>
      <c r="AD15" s="68">
        <f>AD14*(1+ASSUMPTIONS!$D$59)+AB15+MAX(AC15,0)*0.2</f>
        <v>722565.12608626345</v>
      </c>
      <c r="AE15" s="69">
        <f t="shared" si="3"/>
        <v>-86786.585918500758</v>
      </c>
      <c r="AF15" s="69">
        <f t="shared" si="4"/>
        <v>-96055.002097577817</v>
      </c>
      <c r="AG15" s="69">
        <f t="shared" si="5"/>
        <v>28909.523045991897</v>
      </c>
      <c r="AH15" s="69">
        <f t="shared" si="6"/>
        <v>149115.50206145237</v>
      </c>
    </row>
    <row r="16" spans="1:34" ht="18" customHeight="1" x14ac:dyDescent="0.2">
      <c r="A16" s="63">
        <v>11</v>
      </c>
      <c r="B16" s="64">
        <v>2037</v>
      </c>
      <c r="C16" s="63">
        <v>47</v>
      </c>
      <c r="D16" s="70" t="s">
        <v>448</v>
      </c>
      <c r="E16" s="39">
        <f>ASSUMPTIONS!$B$21*(1+ASSUMPTIONS!$B$23)^3*12+ASSUMPTIONS!$B$46</f>
        <v>94361.558811391995</v>
      </c>
      <c r="F16" s="39">
        <f>ASSUMPTIONS!$B$33*(1+ASSUMPTIONS!$B$34)^3*12+ASSUMPTIONS!$B$38*12+ASSUMPTIONS!$B$39</f>
        <v>68106.268207137284</v>
      </c>
      <c r="G16" s="39">
        <f>MAX((E16-F16)*(ASSUMPTIONS!$B$64+ASSUMPTIONS!$B$67),0)</f>
        <v>4988.5052148083951</v>
      </c>
      <c r="H16" s="39">
        <f>ASSUMPTIONS!$B$26*(1+ASSUMPTIONS!$B$27)^3</f>
        <v>198.87631400000001</v>
      </c>
      <c r="I16" s="39">
        <f>ASSUMPTIONS!$B$70*12*(1+ASSUMPTIONS!$B$71)^11</f>
        <v>39763.280693011104</v>
      </c>
      <c r="J16" s="39">
        <f>ASSUMPTIONS!$B$62*12</f>
        <v>0</v>
      </c>
      <c r="K16" s="39">
        <f t="shared" si="0"/>
        <v>117517.16479670981</v>
      </c>
      <c r="L16" s="39">
        <f>L15*(1+ASSUMPTIONS!$B$59)+J16+MAX(K16,0)*0.2</f>
        <v>956201.70507739787</v>
      </c>
      <c r="M16" s="70" t="s">
        <v>446</v>
      </c>
      <c r="N16" s="39">
        <f>ASSUMPTIONS!$C$47*(1+ASSUMPTIONS!$B$51)^9</f>
        <v>249079.56717375992</v>
      </c>
      <c r="O16" s="39">
        <f>ASSUMPTIONS!$C$33*(1+ASSUMPTIONS!$C$34)^9*12</f>
        <v>8500.1771748392675</v>
      </c>
      <c r="P16" s="39">
        <f>MAX((N16-O16)*(ASSUMPTIONS!$C$65+ASSUMPTIONS!$C$67),0)</f>
        <v>69768.023099686994</v>
      </c>
      <c r="Q16" s="39">
        <f>ASSUMPTIONS!$C$28*(1+ASSUMPTIONS!$C$29)^9</f>
        <v>5997.013881313299</v>
      </c>
      <c r="R16" s="39">
        <f>ASSUMPTIONS!$B$70*12*(1+ASSUMPTIONS!$B$71)^11</f>
        <v>39763.280693011104</v>
      </c>
      <c r="S16" s="39">
        <f>ASSUMPTIONS!$C$61*12</f>
        <v>6000</v>
      </c>
      <c r="T16" s="39">
        <f t="shared" si="1"/>
        <v>136051.42667458783</v>
      </c>
      <c r="U16" s="39">
        <f>U15*(1+ASSUMPTIONS!$C$59)+S16+MAX(T16,0)*0.2</f>
        <v>934975.36779376224</v>
      </c>
      <c r="V16" s="70" t="s">
        <v>327</v>
      </c>
      <c r="W16" s="39">
        <f>ASSUMPTIONS!$D$48*(1+ASSUMPTIONS!$B$51)^3</f>
        <v>258718.72000000003</v>
      </c>
      <c r="X16" s="39">
        <f>ASSUMPTIONS!$D$33*(1+ASSUMPTIONS!$D$34)^9*12</f>
        <v>8500.1771748392675</v>
      </c>
      <c r="Y16" s="39">
        <f>MAX((W16-X16)*(ASSUMPTIONS!$D$66+ASSUMPTIONS!$D$67),0)</f>
        <v>77567.748275799837</v>
      </c>
      <c r="Z16" s="39">
        <f>ASSUMPTIONS!$D$28*(1+ASSUMPTIONS!$D$29)^9</f>
        <v>0</v>
      </c>
      <c r="AA16" s="39">
        <f>ASSUMPTIONS!$B$70*12*(1+ASSUMPTIONS!$B$71)^11</f>
        <v>39763.280693011104</v>
      </c>
      <c r="AB16" s="39">
        <f>ASSUMPTIONS!$D$61*12</f>
        <v>6000</v>
      </c>
      <c r="AC16" s="39">
        <f t="shared" si="2"/>
        <v>143887.86820602833</v>
      </c>
      <c r="AD16" s="39">
        <f>AD15*(1+ASSUMPTIONS!$D$59)+AB16+MAX(AC16,0)*0.2</f>
        <v>807922.25855350762</v>
      </c>
      <c r="AE16" s="39">
        <f t="shared" si="3"/>
        <v>-95111.917330069904</v>
      </c>
      <c r="AF16" s="39">
        <f t="shared" si="4"/>
        <v>-104751.07015630999</v>
      </c>
      <c r="AG16" s="39">
        <f t="shared" si="5"/>
        <v>21226.337283635628</v>
      </c>
      <c r="AH16" s="39">
        <f t="shared" si="6"/>
        <v>148279.44652389025</v>
      </c>
    </row>
    <row r="17" spans="1:34" ht="18" customHeight="1" x14ac:dyDescent="0.2">
      <c r="A17" s="63">
        <v>12</v>
      </c>
      <c r="B17" s="64">
        <v>2038</v>
      </c>
      <c r="C17" s="63">
        <v>48</v>
      </c>
      <c r="D17" s="65" t="s">
        <v>448</v>
      </c>
      <c r="E17" s="45">
        <f>ASSUMPTIONS!$B$21*(1+ASSUMPTIONS!$B$23)^4*12+ASSUMPTIONS!$B$46</f>
        <v>95687.682458110969</v>
      </c>
      <c r="F17" s="45">
        <f>ASSUMPTIONS!$B$33*(1+ASSUMPTIONS!$B$34)^4*12+ASSUMPTIONS!$B$38*12+ASSUMPTIONS!$B$39</f>
        <v>68307.931716937121</v>
      </c>
      <c r="G17" s="45">
        <f>MAX((E17-F17)*(ASSUMPTIONS!$B$64+ASSUMPTIONS!$B$67),0)</f>
        <v>5202.1526408230311</v>
      </c>
      <c r="H17" s="45">
        <f>ASSUMPTIONS!$B$26*(1+ASSUMPTIONS!$B$27)^4</f>
        <v>204.84260341999999</v>
      </c>
      <c r="I17" s="45">
        <f>ASSUMPTIONS!$B$70*12*(1+ASSUMPTIONS!$B$71)^12</f>
        <v>40956.179113801431</v>
      </c>
      <c r="J17" s="45">
        <f>ASSUMPTIONS!$B$62*12</f>
        <v>0</v>
      </c>
      <c r="K17" s="45">
        <f t="shared" si="0"/>
        <v>117632.43981700361</v>
      </c>
      <c r="L17" s="45">
        <f>L16*(1+ASSUMPTIONS!$B$59)+J17+MAX(K17,0)*0.2</f>
        <v>1046662.3123962164</v>
      </c>
      <c r="M17" s="66" t="s">
        <v>446</v>
      </c>
      <c r="N17" s="40">
        <f>ASSUMPTIONS!$C$47*(1+ASSUMPTIONS!$B$51)^10</f>
        <v>259042.74986071029</v>
      </c>
      <c r="O17" s="40">
        <f>ASSUMPTIONS!$C$33*(1+ASSUMPTIONS!$C$34)^10*12</f>
        <v>8738.1821357347653</v>
      </c>
      <c r="P17" s="40">
        <f>MAX((N17-O17)*(ASSUMPTIONS!$C$65+ASSUMPTIONS!$C$67),0)</f>
        <v>72588.324640242907</v>
      </c>
      <c r="Q17" s="40">
        <f>ASSUMPTIONS!$C$28*(1+ASSUMPTIONS!$C$29)^10</f>
        <v>6476.7749918183636</v>
      </c>
      <c r="R17" s="40">
        <f>ASSUMPTIONS!$B$70*12*(1+ASSUMPTIONS!$B$71)^12</f>
        <v>40956.179113801431</v>
      </c>
      <c r="S17" s="40">
        <f>ASSUMPTIONS!$C$61*12</f>
        <v>6000</v>
      </c>
      <c r="T17" s="40">
        <f t="shared" si="1"/>
        <v>141759.65325058237</v>
      </c>
      <c r="U17" s="40">
        <f>U16*(1+ASSUMPTIONS!$C$59)+S17+MAX(T17,0)*0.2</f>
        <v>1034775.5741894422</v>
      </c>
      <c r="V17" s="67" t="s">
        <v>327</v>
      </c>
      <c r="W17" s="68">
        <f>ASSUMPTIONS!$D$48*(1+ASSUMPTIONS!$B$51)^4</f>
        <v>269067.46880000003</v>
      </c>
      <c r="X17" s="68">
        <f>ASSUMPTIONS!$D$33*(1+ASSUMPTIONS!$D$34)^10*12</f>
        <v>8738.1821357347653</v>
      </c>
      <c r="Y17" s="68">
        <f>MAX((W17-X17)*(ASSUMPTIONS!$D$66+ASSUMPTIONS!$D$67),0)</f>
        <v>80702.078865922231</v>
      </c>
      <c r="Z17" s="68">
        <f>ASSUMPTIONS!$D$28*(1+ASSUMPTIONS!$D$29)^10</f>
        <v>0</v>
      </c>
      <c r="AA17" s="68">
        <f>ASSUMPTIONS!$B$70*12*(1+ASSUMPTIONS!$B$71)^12</f>
        <v>40956.179113801431</v>
      </c>
      <c r="AB17" s="68">
        <f>ASSUMPTIONS!$D$61*12</f>
        <v>6000</v>
      </c>
      <c r="AC17" s="68">
        <f t="shared" si="2"/>
        <v>150147.39295601114</v>
      </c>
      <c r="AD17" s="68">
        <f>AD16*(1+ASSUMPTIONS!$D$59)+AB17+MAX(AC17,0)*0.2</f>
        <v>900506.29524345533</v>
      </c>
      <c r="AE17" s="69">
        <f t="shared" si="3"/>
        <v>-103785.31782139698</v>
      </c>
      <c r="AF17" s="69">
        <f t="shared" si="4"/>
        <v>-113810.03676068672</v>
      </c>
      <c r="AG17" s="69">
        <f t="shared" si="5"/>
        <v>11886.738206774229</v>
      </c>
      <c r="AH17" s="69">
        <f t="shared" si="6"/>
        <v>146156.01715276111</v>
      </c>
    </row>
    <row r="18" spans="1:34" ht="18" customHeight="1" x14ac:dyDescent="0.2">
      <c r="A18" s="63">
        <v>13</v>
      </c>
      <c r="B18" s="64">
        <v>2039</v>
      </c>
      <c r="C18" s="63">
        <v>49</v>
      </c>
      <c r="D18" s="70" t="s">
        <v>448</v>
      </c>
      <c r="E18" s="39">
        <f>ASSUMPTIONS!$B$21*(1+ASSUMPTIONS!$B$23)^5*12+ASSUMPTIONS!$B$46</f>
        <v>97050.937566938082</v>
      </c>
      <c r="F18" s="39">
        <f>ASSUMPTIONS!$B$33*(1+ASSUMPTIONS!$B$34)^5*12+ASSUMPTIONS!$B$38*12+ASSUMPTIONS!$B$39</f>
        <v>68515.241805011363</v>
      </c>
      <c r="G18" s="39">
        <f>MAX((E18-F18)*(ASSUMPTIONS!$B$64+ASSUMPTIONS!$B$67),0)</f>
        <v>5421.7821947660768</v>
      </c>
      <c r="H18" s="39">
        <f>ASSUMPTIONS!$B$26*(1+ASSUMPTIONS!$B$27)^5</f>
        <v>210.98788152259996</v>
      </c>
      <c r="I18" s="39">
        <f>ASSUMPTIONS!$B$70*12*(1+ASSUMPTIONS!$B$71)^13</f>
        <v>42184.864487215469</v>
      </c>
      <c r="J18" s="39">
        <f>ASSUMPTIONS!$B$62*12</f>
        <v>0</v>
      </c>
      <c r="K18" s="39">
        <f t="shared" si="0"/>
        <v>117748.54480844532</v>
      </c>
      <c r="L18" s="39">
        <f>L17*(1+ASSUMPTIONS!$B$59)+J18+MAX(K18,0)*0.2</f>
        <v>1143478.3832256407</v>
      </c>
      <c r="M18" s="70" t="s">
        <v>446</v>
      </c>
      <c r="N18" s="39">
        <f>ASSUMPTIONS!$C$47*(1+ASSUMPTIONS!$B$51)^11</f>
        <v>269404.45985513867</v>
      </c>
      <c r="O18" s="39">
        <f>ASSUMPTIONS!$C$33*(1+ASSUMPTIONS!$C$34)^11*12</f>
        <v>8982.8512355353396</v>
      </c>
      <c r="P18" s="39">
        <f>MAX((N18-O18)*(ASSUMPTIONS!$C$65+ASSUMPTIONS!$C$67),0)</f>
        <v>75522.266499684978</v>
      </c>
      <c r="Q18" s="39">
        <f>ASSUMPTIONS!$C$28*(1+ASSUMPTIONS!$C$29)^11</f>
        <v>6994.9169911638319</v>
      </c>
      <c r="R18" s="39">
        <f>ASSUMPTIONS!$B$70*12*(1+ASSUMPTIONS!$B$71)^13</f>
        <v>42184.864487215469</v>
      </c>
      <c r="S18" s="39">
        <f>ASSUMPTIONS!$C$61*12</f>
        <v>6000</v>
      </c>
      <c r="T18" s="39">
        <f t="shared" si="1"/>
        <v>147685.26311260974</v>
      </c>
      <c r="U18" s="39">
        <f>U17*(1+ASSUMPTIONS!$C$59)+S18+MAX(T18,0)*0.2</f>
        <v>1142746.9170052253</v>
      </c>
      <c r="V18" s="70" t="s">
        <v>327</v>
      </c>
      <c r="W18" s="39">
        <f>ASSUMPTIONS!$D$48*(1+ASSUMPTIONS!$B$51)^5</f>
        <v>279830.16755200009</v>
      </c>
      <c r="X18" s="39">
        <f>ASSUMPTIONS!$D$33*(1+ASSUMPTIONS!$D$34)^11*12</f>
        <v>8982.8512355353396</v>
      </c>
      <c r="Y18" s="39">
        <f>MAX((W18-X18)*(ASSUMPTIONS!$D$66+ASSUMPTIONS!$D$67),0)</f>
        <v>83962.668058104071</v>
      </c>
      <c r="Z18" s="39">
        <f>ASSUMPTIONS!$D$28*(1+ASSUMPTIONS!$D$29)^11</f>
        <v>0</v>
      </c>
      <c r="AA18" s="39">
        <f>ASSUMPTIONS!$B$70*12*(1+ASSUMPTIONS!$B$71)^13</f>
        <v>42184.864487215469</v>
      </c>
      <c r="AB18" s="39">
        <f>ASSUMPTIONS!$D$61*12</f>
        <v>6000</v>
      </c>
      <c r="AC18" s="39">
        <f t="shared" si="2"/>
        <v>156665.48624221591</v>
      </c>
      <c r="AD18" s="39">
        <f>AD17*(1+ASSUMPTIONS!$D$59)+AB18+MAX(AC18,0)*0.2</f>
        <v>1000874.8331589404</v>
      </c>
      <c r="AE18" s="39">
        <f t="shared" si="3"/>
        <v>-112821.13171872456</v>
      </c>
      <c r="AF18" s="39">
        <f t="shared" si="4"/>
        <v>-123246.83941558597</v>
      </c>
      <c r="AG18" s="39">
        <f t="shared" si="5"/>
        <v>731.46622041543014</v>
      </c>
      <c r="AH18" s="39">
        <f t="shared" si="6"/>
        <v>142603.55006670032</v>
      </c>
    </row>
    <row r="19" spans="1:34" ht="18" customHeight="1" x14ac:dyDescent="0.2">
      <c r="A19" s="63">
        <v>14</v>
      </c>
      <c r="B19" s="64">
        <v>2040</v>
      </c>
      <c r="C19" s="63">
        <v>50</v>
      </c>
      <c r="D19" s="74" t="s">
        <v>327</v>
      </c>
      <c r="E19" s="45">
        <f>ASSUMPTIONS!$B$21*(1+ASSUMPTIONS!$B$23)^6*12+ASSUMPTIONS!$B$48*(1+ASSUMPTIONS!$B$51)^0</f>
        <v>281452.36381881236</v>
      </c>
      <c r="F19" s="45">
        <f>ASSUMPTIONS!$B$33*(1+ASSUMPTIONS!$B$34)^6*12</f>
        <v>7824.3565755516811</v>
      </c>
      <c r="G19" s="45">
        <f>MAX((E19-F19)*(ASSUMPTIONS!$B$66+ASSUMPTIONS!$B$67),0)</f>
        <v>84824.682245410804</v>
      </c>
      <c r="H19" s="45">
        <f>ASSUMPTIONS!$B$26*(1+ASSUMPTIONS!$B$27)^6</f>
        <v>217.317517968278</v>
      </c>
      <c r="I19" s="45">
        <f>ASSUMPTIONS!$B$70*12*(1+ASSUMPTIONS!$B$71)^14</f>
        <v>43450.410421831933</v>
      </c>
      <c r="J19" s="45">
        <f>ASSUMPTIONS!$B$61*12</f>
        <v>6000</v>
      </c>
      <c r="K19" s="45">
        <f t="shared" si="0"/>
        <v>154784.31020915302</v>
      </c>
      <c r="L19" s="45">
        <f>L18*(1+ASSUMPTIONS!$B$59)+J19+MAX(K19,0)*0.2</f>
        <v>1260478.7320932662</v>
      </c>
      <c r="M19" s="66" t="s">
        <v>446</v>
      </c>
      <c r="N19" s="40">
        <f>ASSUMPTIONS!$C$47*(1+ASSUMPTIONS!$B$51)^12</f>
        <v>280180.63824934431</v>
      </c>
      <c r="O19" s="40">
        <f>ASSUMPTIONS!$C$33*(1+ASSUMPTIONS!$C$34)^12*12</f>
        <v>9234.3710701303298</v>
      </c>
      <c r="P19" s="40">
        <f>MAX((N19-O19)*(ASSUMPTIONS!$C$65+ASSUMPTIONS!$C$67),0)</f>
        <v>78574.417481972065</v>
      </c>
      <c r="Q19" s="40">
        <f>ASSUMPTIONS!$C$28*(1+ASSUMPTIONS!$C$29)^12</f>
        <v>7554.5103504569397</v>
      </c>
      <c r="R19" s="40">
        <f>ASSUMPTIONS!$B$70*12*(1+ASSUMPTIONS!$B$71)^14</f>
        <v>43450.410421831933</v>
      </c>
      <c r="S19" s="40">
        <f>ASSUMPTIONS!$C$61*12</f>
        <v>6000</v>
      </c>
      <c r="T19" s="40">
        <f t="shared" si="1"/>
        <v>153835.67106521368</v>
      </c>
      <c r="U19" s="40">
        <f>U18*(1+ASSUMPTIONS!$C$59)+S19+MAX(T19,0)*0.2</f>
        <v>1259506.3354086338</v>
      </c>
      <c r="V19" s="67" t="s">
        <v>327</v>
      </c>
      <c r="W19" s="68">
        <f>ASSUMPTIONS!$D$48*(1+ASSUMPTIONS!$B$51)^6</f>
        <v>291023.37425408006</v>
      </c>
      <c r="X19" s="68">
        <f>ASSUMPTIONS!$D$33*(1+ASSUMPTIONS!$D$34)^12*12</f>
        <v>9234.3710701303298</v>
      </c>
      <c r="Y19" s="68">
        <f>MAX((W19-X19)*(ASSUMPTIONS!$D$66+ASSUMPTIONS!$D$67),0)</f>
        <v>87354.590987024421</v>
      </c>
      <c r="Z19" s="68">
        <f>ASSUMPTIONS!$D$28*(1+ASSUMPTIONS!$D$29)^12</f>
        <v>0</v>
      </c>
      <c r="AA19" s="68">
        <f>ASSUMPTIONS!$B$70*12*(1+ASSUMPTIONS!$B$71)^14</f>
        <v>43450.410421831933</v>
      </c>
      <c r="AB19" s="68">
        <f>ASSUMPTIONS!$D$61*12</f>
        <v>6000</v>
      </c>
      <c r="AC19" s="68">
        <f t="shared" si="2"/>
        <v>163452.74391535402</v>
      </c>
      <c r="AD19" s="68">
        <f>AD18*(1+ASSUMPTIONS!$D$59)+AB19+MAX(AC19,0)*0.2</f>
        <v>1109626.6202631372</v>
      </c>
      <c r="AE19" s="69">
        <f t="shared" si="3"/>
        <v>-138.2889251105953</v>
      </c>
      <c r="AF19" s="69">
        <f t="shared" si="4"/>
        <v>-10981.024929846346</v>
      </c>
      <c r="AG19" s="69">
        <f t="shared" si="5"/>
        <v>972.39668463240378</v>
      </c>
      <c r="AH19" s="69">
        <f t="shared" si="6"/>
        <v>150852.11183012906</v>
      </c>
    </row>
    <row r="20" spans="1:34" ht="18" customHeight="1" x14ac:dyDescent="0.2">
      <c r="A20" s="63">
        <v>15</v>
      </c>
      <c r="B20" s="64">
        <v>2041</v>
      </c>
      <c r="C20" s="63">
        <v>51</v>
      </c>
      <c r="D20" s="70" t="s">
        <v>327</v>
      </c>
      <c r="E20" s="39">
        <f>ASSUMPTIONS!$B$21*(1+ASSUMPTIONS!$B$23)^7*12+ASSUMPTIONS!$B$48*(1+ASSUMPTIONS!$B$51)^1</f>
        <v>292093.03000573907</v>
      </c>
      <c r="F20" s="39">
        <f>ASSUMPTIONS!$B$33*(1+ASSUMPTIONS!$B$34)^7*12</f>
        <v>8043.4385596671291</v>
      </c>
      <c r="G20" s="39">
        <f>MAX((E20-F20)*(ASSUMPTIONS!$B$66+ASSUMPTIONS!$B$67),0)</f>
        <v>88055.373348282301</v>
      </c>
      <c r="H20" s="39">
        <f>ASSUMPTIONS!$B$26*(1+ASSUMPTIONS!$B$27)^7</f>
        <v>223.83704350732634</v>
      </c>
      <c r="I20" s="39">
        <f>ASSUMPTIONS!$B$70*12*(1+ASSUMPTIONS!$B$71)^15</f>
        <v>44753.9227344869</v>
      </c>
      <c r="J20" s="39">
        <f>ASSUMPTIONS!$B$61*12</f>
        <v>6000</v>
      </c>
      <c r="K20" s="39">
        <f t="shared" si="0"/>
        <v>161103.3354391297</v>
      </c>
      <c r="L20" s="39">
        <f>L19*(1+ASSUMPTIONS!$B$59)+J20+MAX(K20,0)*0.2</f>
        <v>1386932.9104276209</v>
      </c>
      <c r="M20" s="70" t="s">
        <v>446</v>
      </c>
      <c r="N20" s="39">
        <f>ASSUMPTIONS!$C$47*(1+ASSUMPTIONS!$B$51)^13</f>
        <v>291387.86377931811</v>
      </c>
      <c r="O20" s="39">
        <f>ASSUMPTIONS!$C$33*(1+ASSUMPTIONS!$C$34)^13*12</f>
        <v>9492.9334600939801</v>
      </c>
      <c r="P20" s="39">
        <f>MAX((N20-O20)*(ASSUMPTIONS!$C$65+ASSUMPTIONS!$C$67),0)</f>
        <v>81749.529792575006</v>
      </c>
      <c r="Q20" s="39">
        <f>ASSUMPTIONS!$C$28*(1+ASSUMPTIONS!$C$29)^13</f>
        <v>8158.8711784934949</v>
      </c>
      <c r="R20" s="39">
        <f>ASSUMPTIONS!$B$70*12*(1+ASSUMPTIONS!$B$71)^15</f>
        <v>44753.9227344869</v>
      </c>
      <c r="S20" s="39">
        <f>ASSUMPTIONS!$C$61*12</f>
        <v>6000</v>
      </c>
      <c r="T20" s="39">
        <f t="shared" si="1"/>
        <v>160218.47353385671</v>
      </c>
      <c r="U20" s="39">
        <f>U19*(1+ASSUMPTIONS!$C$59)+S20+MAX(T20,0)*0.2</f>
        <v>1385715.4735940096</v>
      </c>
      <c r="V20" s="70" t="s">
        <v>327</v>
      </c>
      <c r="W20" s="39">
        <f>ASSUMPTIONS!$D$48*(1+ASSUMPTIONS!$B$51)^7</f>
        <v>302664.30922424328</v>
      </c>
      <c r="X20" s="39">
        <f>ASSUMPTIONS!$D$33*(1+ASSUMPTIONS!$D$34)^13*12</f>
        <v>9492.9334600939801</v>
      </c>
      <c r="Y20" s="39">
        <f>MAX((W20-X20)*(ASSUMPTIONS!$D$66+ASSUMPTIONS!$D$67),0)</f>
        <v>90883.126486886278</v>
      </c>
      <c r="Z20" s="39">
        <f>ASSUMPTIONS!$D$28*(1+ASSUMPTIONS!$D$29)^13</f>
        <v>0</v>
      </c>
      <c r="AA20" s="39">
        <f>ASSUMPTIONS!$B$70*12*(1+ASSUMPTIONS!$B$71)^15</f>
        <v>44753.9227344869</v>
      </c>
      <c r="AB20" s="39">
        <f>ASSUMPTIONS!$D$61*12</f>
        <v>6000</v>
      </c>
      <c r="AC20" s="39">
        <f t="shared" si="2"/>
        <v>170520.19346296406</v>
      </c>
      <c r="AD20" s="39">
        <f>AD19*(1+ASSUMPTIONS!$D$59)+AB20+MAX(AC20,0)*0.2</f>
        <v>1227404.5223741496</v>
      </c>
      <c r="AE20" s="39">
        <f t="shared" si="3"/>
        <v>-744.32867400586838</v>
      </c>
      <c r="AF20" s="39">
        <f t="shared" si="4"/>
        <v>-12020.774118931033</v>
      </c>
      <c r="AG20" s="39">
        <f t="shared" si="5"/>
        <v>1217.4368336112238</v>
      </c>
      <c r="AH20" s="39">
        <f t="shared" si="6"/>
        <v>159528.38805347122</v>
      </c>
    </row>
    <row r="21" spans="1:34" ht="18" customHeight="1" x14ac:dyDescent="0.2">
      <c r="A21" s="63">
        <v>16</v>
      </c>
      <c r="B21" s="64">
        <v>2042</v>
      </c>
      <c r="C21" s="63">
        <v>52</v>
      </c>
      <c r="D21" s="65" t="s">
        <v>327</v>
      </c>
      <c r="E21" s="45">
        <f>ASSUMPTIONS!$B$21*(1+ASSUMPTIONS!$B$23)^8*12+ASSUMPTIONS!$B$48*(1+ASSUMPTIONS!$B$51)^2</f>
        <v>303142.03484589979</v>
      </c>
      <c r="F21" s="45">
        <f>ASSUMPTIONS!$B$33*(1+ASSUMPTIONS!$B$34)^8*12</f>
        <v>8268.6548393378089</v>
      </c>
      <c r="G21" s="45">
        <f>MAX((E21-F21)*(ASSUMPTIONS!$B$66+ASSUMPTIONS!$B$67),0)</f>
        <v>91410.74780203421</v>
      </c>
      <c r="H21" s="45">
        <f>ASSUMPTIONS!$B$26*(1+ASSUMPTIONS!$B$27)^8</f>
        <v>230.55215481254609</v>
      </c>
      <c r="I21" s="45">
        <f>ASSUMPTIONS!$B$70*12*(1+ASSUMPTIONS!$B$71)^16</f>
        <v>46096.540416521493</v>
      </c>
      <c r="J21" s="45">
        <f>ASSUMPTIONS!$B$61*12</f>
        <v>6000</v>
      </c>
      <c r="K21" s="45">
        <f t="shared" si="0"/>
        <v>167672.84931186936</v>
      </c>
      <c r="L21" s="45">
        <f>L20*(1+ASSUMPTIONS!$B$59)+J21+MAX(K21,0)*0.2</f>
        <v>1523552.7840199282</v>
      </c>
      <c r="M21" s="66" t="s">
        <v>446</v>
      </c>
      <c r="N21" s="40">
        <f>ASSUMPTIONS!$C$47*(1+ASSUMPTIONS!$B$51)^14</f>
        <v>303043.37833049078</v>
      </c>
      <c r="O21" s="40">
        <f>ASSUMPTIONS!$C$33*(1+ASSUMPTIONS!$C$34)^14*12</f>
        <v>9758.7355969766104</v>
      </c>
      <c r="P21" s="40">
        <f>MAX((N21-O21)*(ASSUMPTIONS!$C$65+ASSUMPTIONS!$C$67),0)</f>
        <v>85052.54639271913</v>
      </c>
      <c r="Q21" s="40">
        <f>ASSUMPTIONS!$C$28*(1+ASSUMPTIONS!$C$29)^14</f>
        <v>8811.5808727729764</v>
      </c>
      <c r="R21" s="40">
        <f>ASSUMPTIONS!$B$70*12*(1+ASSUMPTIONS!$B$71)^16</f>
        <v>46096.540416521493</v>
      </c>
      <c r="S21" s="40">
        <f>ASSUMPTIONS!$C$61*12</f>
        <v>6000</v>
      </c>
      <c r="T21" s="40">
        <f t="shared" si="1"/>
        <v>166841.44624545376</v>
      </c>
      <c r="U21" s="40">
        <f>U20*(1+ASSUMPTIONS!$C$59)+S21+MAX(T21,0)*0.2</f>
        <v>1522083.8459946811</v>
      </c>
      <c r="V21" s="67" t="s">
        <v>327</v>
      </c>
      <c r="W21" s="68">
        <f>ASSUMPTIONS!$D$48*(1+ASSUMPTIONS!$B$51)^8</f>
        <v>314770.88159321307</v>
      </c>
      <c r="X21" s="68">
        <f>ASSUMPTIONS!$D$33*(1+ASSUMPTIONS!$D$34)^14*12</f>
        <v>9758.7355969766104</v>
      </c>
      <c r="Y21" s="68">
        <f>MAX((W21-X21)*(ASSUMPTIONS!$D$66+ASSUMPTIONS!$D$67),0)</f>
        <v>94553.7652588333</v>
      </c>
      <c r="Z21" s="68">
        <f>ASSUMPTIONS!$D$28*(1+ASSUMPTIONS!$D$29)^14</f>
        <v>0</v>
      </c>
      <c r="AA21" s="68">
        <f>ASSUMPTIONS!$B$70*12*(1+ASSUMPTIONS!$B$71)^16</f>
        <v>46096.540416521493</v>
      </c>
      <c r="AB21" s="68">
        <f>ASSUMPTIONS!$D$61*12</f>
        <v>6000</v>
      </c>
      <c r="AC21" s="68">
        <f t="shared" si="2"/>
        <v>177879.31151483487</v>
      </c>
      <c r="AD21" s="68">
        <f>AD20*(1+ASSUMPTIONS!$D$59)+AB21+MAX(AC21,0)*0.2</f>
        <v>1354898.701243307</v>
      </c>
      <c r="AE21" s="69">
        <f t="shared" si="3"/>
        <v>-1391.424242229783</v>
      </c>
      <c r="AF21" s="69">
        <f t="shared" si="4"/>
        <v>-13118.927504952066</v>
      </c>
      <c r="AG21" s="69">
        <f t="shared" si="5"/>
        <v>1468.9380252470728</v>
      </c>
      <c r="AH21" s="69">
        <f t="shared" si="6"/>
        <v>168654.08277662122</v>
      </c>
    </row>
    <row r="22" spans="1:34" ht="18" customHeight="1" x14ac:dyDescent="0.2">
      <c r="A22" s="63">
        <v>17</v>
      </c>
      <c r="B22" s="64">
        <v>2043</v>
      </c>
      <c r="C22" s="63">
        <v>53</v>
      </c>
      <c r="D22" s="70" t="s">
        <v>327</v>
      </c>
      <c r="E22" s="39">
        <f>ASSUMPTIONS!$B$21*(1+ASSUMPTIONS!$B$23)^9*12+ASSUMPTIONS!$B$48*(1+ASSUMPTIONS!$B$51)^3</f>
        <v>314615.22782158502</v>
      </c>
      <c r="F22" s="39">
        <f>ASSUMPTIONS!$B$33*(1+ASSUMPTIONS!$B$34)^9*12</f>
        <v>8500.1771748392675</v>
      </c>
      <c r="G22" s="39">
        <f>MAX((E22-F22)*(ASSUMPTIONS!$B$66+ASSUMPTIONS!$B$67),0)</f>
        <v>94895.665700491183</v>
      </c>
      <c r="H22" s="39">
        <f>ASSUMPTIONS!$B$26*(1+ASSUMPTIONS!$B$27)^9</f>
        <v>237.46871945692249</v>
      </c>
      <c r="I22" s="39">
        <f>ASSUMPTIONS!$B$70*12*(1+ASSUMPTIONS!$B$71)^17</f>
        <v>47479.436629017138</v>
      </c>
      <c r="J22" s="39">
        <f>ASSUMPTIONS!$B$61*12</f>
        <v>6000</v>
      </c>
      <c r="K22" s="39">
        <f t="shared" si="0"/>
        <v>174502.83394745903</v>
      </c>
      <c r="L22" s="39">
        <f>L21*(1+ASSUMPTIONS!$B$59)+J22+MAX(K22,0)*0.2</f>
        <v>1671102.045690815</v>
      </c>
      <c r="M22" s="70" t="s">
        <v>446</v>
      </c>
      <c r="N22" s="39">
        <f>ASSUMPTIONS!$C$47*(1+ASSUMPTIONS!$B$51)^15</f>
        <v>315165.11346371041</v>
      </c>
      <c r="O22" s="39">
        <f>ASSUMPTIONS!$C$33*(1+ASSUMPTIONS!$C$34)^15*12</f>
        <v>10031.980193691956</v>
      </c>
      <c r="P22" s="39">
        <f>MAX((N22-O22)*(ASSUMPTIONS!$C$65+ASSUMPTIONS!$C$67),0)</f>
        <v>88488.608648305366</v>
      </c>
      <c r="Q22" s="39">
        <f>ASSUMPTIONS!$C$28*(1+ASSUMPTIONS!$C$29)^15</f>
        <v>9516.507342594814</v>
      </c>
      <c r="R22" s="39">
        <f>ASSUMPTIONS!$B$70*12*(1+ASSUMPTIONS!$B$71)^17</f>
        <v>47479.436629017138</v>
      </c>
      <c r="S22" s="39">
        <f>ASSUMPTIONS!$C$61*12</f>
        <v>6000</v>
      </c>
      <c r="T22" s="39">
        <f t="shared" si="1"/>
        <v>173712.54103748506</v>
      </c>
      <c r="U22" s="39">
        <f>U21*(1+ASSUMPTIONS!$C$59)+S22+MAX(T22,0)*0.2</f>
        <v>1669372.2234218058</v>
      </c>
      <c r="V22" s="70" t="s">
        <v>327</v>
      </c>
      <c r="W22" s="39">
        <f>ASSUMPTIONS!$D$48*(1+ASSUMPTIONS!$B$51)^9</f>
        <v>327361.71685694158</v>
      </c>
      <c r="X22" s="39">
        <f>ASSUMPTIONS!$D$33*(1+ASSUMPTIONS!$D$34)^15*12</f>
        <v>10031.980193691956</v>
      </c>
      <c r="Y22" s="39">
        <f>MAX((W22-X22)*(ASSUMPTIONS!$D$66+ASSUMPTIONS!$D$67),0)</f>
        <v>98372.218365607376</v>
      </c>
      <c r="Z22" s="39">
        <f>ASSUMPTIONS!$D$28*(1+ASSUMPTIONS!$D$29)^15</f>
        <v>0</v>
      </c>
      <c r="AA22" s="39">
        <f>ASSUMPTIONS!$B$70*12*(1+ASSUMPTIONS!$B$71)^17</f>
        <v>47479.436629017138</v>
      </c>
      <c r="AB22" s="39">
        <f>ASSUMPTIONS!$D$61*12</f>
        <v>6000</v>
      </c>
      <c r="AC22" s="39">
        <f t="shared" si="2"/>
        <v>185542.04205600903</v>
      </c>
      <c r="AD22" s="39">
        <f>AD21*(1+ASSUMPTIONS!$D$59)+AB22+MAX(AC22,0)*0.2</f>
        <v>1492850.0187415404</v>
      </c>
      <c r="AE22" s="39">
        <f t="shared" si="3"/>
        <v>-2081.6886609781068</v>
      </c>
      <c r="AF22" s="39">
        <f t="shared" si="4"/>
        <v>-14278.292054209276</v>
      </c>
      <c r="AG22" s="39">
        <f t="shared" si="5"/>
        <v>1729.8222690091934</v>
      </c>
      <c r="AH22" s="39">
        <f t="shared" si="6"/>
        <v>178252.02694927459</v>
      </c>
    </row>
    <row r="23" spans="1:34" ht="18" customHeight="1" x14ac:dyDescent="0.2">
      <c r="A23" s="63">
        <v>18</v>
      </c>
      <c r="B23" s="64">
        <v>2044</v>
      </c>
      <c r="C23" s="63">
        <v>54</v>
      </c>
      <c r="D23" s="65" t="s">
        <v>327</v>
      </c>
      <c r="E23" s="45">
        <f>ASSUMPTIONS!$B$21*(1+ASSUMPTIONS!$B$23)^10*12+ASSUMPTIONS!$B$48*(1+ASSUMPTIONS!$B$51)^4</f>
        <v>326529.07884058938</v>
      </c>
      <c r="F23" s="45">
        <f>ASSUMPTIONS!$B$33*(1+ASSUMPTIONS!$B$34)^10*12</f>
        <v>8738.1821357347653</v>
      </c>
      <c r="G23" s="45">
        <f>MAX((E23-F23)*(ASSUMPTIONS!$B$66+ASSUMPTIONS!$B$67),0)</f>
        <v>98515.177978504929</v>
      </c>
      <c r="H23" s="45">
        <f>ASSUMPTIONS!$B$26*(1+ASSUMPTIONS!$B$27)^10</f>
        <v>244.59278104063017</v>
      </c>
      <c r="I23" s="45">
        <f>ASSUMPTIONS!$B$70*12*(1+ASSUMPTIONS!$B$71)^18</f>
        <v>48903.819727887654</v>
      </c>
      <c r="J23" s="45">
        <f>ASSUMPTIONS!$B$61*12</f>
        <v>6000</v>
      </c>
      <c r="K23" s="45">
        <f t="shared" si="0"/>
        <v>181603.67048889093</v>
      </c>
      <c r="L23" s="45">
        <f>L22*(1+ASSUMPTIONS!$B$59)+J23+MAX(K23,0)*0.2</f>
        <v>1830399.9229869503</v>
      </c>
      <c r="M23" s="66" t="s">
        <v>446</v>
      </c>
      <c r="N23" s="40">
        <f>ASSUMPTIONS!$C$47*(1+ASSUMPTIONS!$B$51)^16</f>
        <v>327771.71800225892</v>
      </c>
      <c r="O23" s="40">
        <f>ASSUMPTIONS!$C$33*(1+ASSUMPTIONS!$C$34)^16*12</f>
        <v>10312.875639115329</v>
      </c>
      <c r="P23" s="40">
        <f>MAX((N23-O23)*(ASSUMPTIONS!$C$65+ASSUMPTIONS!$C$67),0)</f>
        <v>92063.064285311644</v>
      </c>
      <c r="Q23" s="40">
        <f>ASSUMPTIONS!$C$28*(1+ASSUMPTIONS!$C$29)^16</f>
        <v>10277.827930002399</v>
      </c>
      <c r="R23" s="40">
        <f>ASSUMPTIONS!$B$70*12*(1+ASSUMPTIONS!$B$71)^18</f>
        <v>48903.819727887654</v>
      </c>
      <c r="S23" s="40">
        <f>ASSUMPTIONS!$C$61*12</f>
        <v>6000</v>
      </c>
      <c r="T23" s="40">
        <f t="shared" si="1"/>
        <v>180839.88169817257</v>
      </c>
      <c r="U23" s="40">
        <f>U22*(1+ASSUMPTIONS!$C$59)+S23+MAX(T23,0)*0.2</f>
        <v>1828396.2554009669</v>
      </c>
      <c r="V23" s="67" t="s">
        <v>327</v>
      </c>
      <c r="W23" s="68">
        <f>ASSUMPTIONS!$D$48*(1+ASSUMPTIONS!$B$51)^10</f>
        <v>340456.18553121923</v>
      </c>
      <c r="X23" s="68">
        <f>ASSUMPTIONS!$D$33*(1+ASSUMPTIONS!$D$34)^16*12</f>
        <v>10312.875639115329</v>
      </c>
      <c r="Y23" s="68">
        <f>MAX((W23-X23)*(ASSUMPTIONS!$D$66+ASSUMPTIONS!$D$67),0)</f>
        <v>102344.4260665522</v>
      </c>
      <c r="Z23" s="68">
        <f>ASSUMPTIONS!$D$28*(1+ASSUMPTIONS!$D$29)^16</f>
        <v>0</v>
      </c>
      <c r="AA23" s="68">
        <f>ASSUMPTIONS!$B$70*12*(1+ASSUMPTIONS!$B$71)^18</f>
        <v>48903.819727887654</v>
      </c>
      <c r="AB23" s="68">
        <f>ASSUMPTIONS!$D$61*12</f>
        <v>6000</v>
      </c>
      <c r="AC23" s="68">
        <f t="shared" si="2"/>
        <v>193520.81537589472</v>
      </c>
      <c r="AD23" s="68">
        <f>AD22*(1+ASSUMPTIONS!$D$59)+AB23+MAX(AC23,0)*0.2</f>
        <v>1642053.6831286272</v>
      </c>
      <c r="AE23" s="69">
        <f t="shared" si="3"/>
        <v>-2817.3326650501112</v>
      </c>
      <c r="AF23" s="69">
        <f t="shared" si="4"/>
        <v>-15501.80019401043</v>
      </c>
      <c r="AG23" s="69">
        <f t="shared" si="5"/>
        <v>2003.6675859834068</v>
      </c>
      <c r="AH23" s="69">
        <f t="shared" si="6"/>
        <v>188346.23985832301</v>
      </c>
    </row>
    <row r="24" spans="1:34" ht="18" customHeight="1" x14ac:dyDescent="0.2">
      <c r="A24" s="63">
        <v>19</v>
      </c>
      <c r="B24" s="64">
        <v>2045</v>
      </c>
      <c r="C24" s="63">
        <v>55</v>
      </c>
      <c r="D24" s="70" t="s">
        <v>327</v>
      </c>
      <c r="E24" s="39">
        <f>ASSUMPTIONS!$B$21*(1+ASSUMPTIONS!$B$23)^11*12+ASSUMPTIONS!$B$48*(1+ASSUMPTIONS!$B$51)^5</f>
        <v>338900.70267372596</v>
      </c>
      <c r="F24" s="39">
        <f>ASSUMPTIONS!$B$33*(1+ASSUMPTIONS!$B$34)^11*12</f>
        <v>8982.8512355353396</v>
      </c>
      <c r="G24" s="39">
        <f>MAX((E24-F24)*(ASSUMPTIONS!$B$66+ASSUMPTIONS!$B$67),0)</f>
        <v>102274.5339458391</v>
      </c>
      <c r="H24" s="39">
        <f>ASSUMPTIONS!$B$26*(1+ASSUMPTIONS!$B$27)^11</f>
        <v>251.93056447184907</v>
      </c>
      <c r="I24" s="39">
        <f>ASSUMPTIONS!$B$70*12*(1+ASSUMPTIONS!$B$71)^19</f>
        <v>50370.934319724285</v>
      </c>
      <c r="J24" s="39">
        <f>ASSUMPTIONS!$B$61*12</f>
        <v>6000</v>
      </c>
      <c r="K24" s="39">
        <f t="shared" si="0"/>
        <v>188986.15507922607</v>
      </c>
      <c r="L24" s="39">
        <f>L23*(1+ASSUMPTIONS!$B$59)+J24+MAX(K24,0)*0.2</f>
        <v>2002325.148611882</v>
      </c>
      <c r="M24" s="70" t="s">
        <v>446</v>
      </c>
      <c r="N24" s="39">
        <f>ASSUMPTIONS!$C$47*(1+ASSUMPTIONS!$B$51)^17</f>
        <v>340882.58672234928</v>
      </c>
      <c r="O24" s="39">
        <f>ASSUMPTIONS!$C$33*(1+ASSUMPTIONS!$C$34)^17*12</f>
        <v>10601.63615701056</v>
      </c>
      <c r="P24" s="39">
        <f>MAX((N24-O24)*(ASSUMPTIONS!$C$65+ASSUMPTIONS!$C$67),0)</f>
        <v>95781.475663948237</v>
      </c>
      <c r="Q24" s="39">
        <f>ASSUMPTIONS!$C$28*(1+ASSUMPTIONS!$C$29)^17</f>
        <v>11100.054164402593</v>
      </c>
      <c r="R24" s="39">
        <f>ASSUMPTIONS!$B$70*12*(1+ASSUMPTIONS!$B$71)^19</f>
        <v>50370.934319724285</v>
      </c>
      <c r="S24" s="39">
        <f>ASSUMPTIONS!$C$61*12</f>
        <v>6000</v>
      </c>
      <c r="T24" s="39">
        <f t="shared" si="1"/>
        <v>188231.75873128476</v>
      </c>
      <c r="U24" s="39">
        <f>U23*(1+ASSUMPTIONS!$C$59)+S24+MAX(T24,0)*0.2</f>
        <v>2000030.3450252917</v>
      </c>
      <c r="V24" s="70" t="s">
        <v>327</v>
      </c>
      <c r="W24" s="39">
        <f>ASSUMPTIONS!$D$48*(1+ASSUMPTIONS!$B$51)^11</f>
        <v>354074.43295246799</v>
      </c>
      <c r="X24" s="39">
        <f>ASSUMPTIONS!$D$33*(1+ASSUMPTIONS!$D$34)^17*12</f>
        <v>10601.63615701056</v>
      </c>
      <c r="Y24" s="39">
        <f>MAX((W24-X24)*(ASSUMPTIONS!$D$66+ASSUMPTIONS!$D$67),0)</f>
        <v>106476.56700659179</v>
      </c>
      <c r="Z24" s="39">
        <f>ASSUMPTIONS!$D$28*(1+ASSUMPTIONS!$D$29)^17</f>
        <v>0</v>
      </c>
      <c r="AA24" s="39">
        <f>ASSUMPTIONS!$B$70*12*(1+ASSUMPTIONS!$B$71)^19</f>
        <v>50370.934319724285</v>
      </c>
      <c r="AB24" s="39">
        <f>ASSUMPTIONS!$D$61*12</f>
        <v>6000</v>
      </c>
      <c r="AC24" s="39">
        <f t="shared" si="2"/>
        <v>201828.56778316246</v>
      </c>
      <c r="AD24" s="39">
        <f>AD23*(1+ASSUMPTIONS!$D$59)+AB24+MAX(AC24,0)*0.2</f>
        <v>1803363.1545042638</v>
      </c>
      <c r="AE24" s="39">
        <f t="shared" si="3"/>
        <v>-3600.6689700985444</v>
      </c>
      <c r="AF24" s="39">
        <f t="shared" si="4"/>
        <v>-16792.515200217254</v>
      </c>
      <c r="AG24" s="39">
        <f t="shared" si="5"/>
        <v>2294.8035865903366</v>
      </c>
      <c r="AH24" s="39">
        <f t="shared" si="6"/>
        <v>198961.99410761823</v>
      </c>
    </row>
    <row r="25" spans="1:34" ht="18" customHeight="1" x14ac:dyDescent="0.2">
      <c r="A25" s="63">
        <v>20</v>
      </c>
      <c r="B25" s="64">
        <v>2046</v>
      </c>
      <c r="C25" s="63">
        <v>56</v>
      </c>
      <c r="D25" s="65" t="s">
        <v>327</v>
      </c>
      <c r="E25" s="45">
        <f>ASSUMPTIONS!$B$21*(1+ASSUMPTIONS!$B$23)^12*12+ASSUMPTIONS!$B$48*(1+ASSUMPTIONS!$B$51)^6</f>
        <v>351747.88435921422</v>
      </c>
      <c r="F25" s="45">
        <f>ASSUMPTIONS!$B$33*(1+ASSUMPTIONS!$B$34)^12*12</f>
        <v>9234.3710701303298</v>
      </c>
      <c r="G25" s="45">
        <f>MAX((E25-F25)*(ASSUMPTIONS!$B$66+ASSUMPTIONS!$B$67),0)</f>
        <v>106179.18911961601</v>
      </c>
      <c r="H25" s="45">
        <f>ASSUMPTIONS!$B$26*(1+ASSUMPTIONS!$B$27)^12</f>
        <v>259.4884814060045</v>
      </c>
      <c r="I25" s="45">
        <f>ASSUMPTIONS!$B$70*12*(1+ASSUMPTIONS!$B$71)^20</f>
        <v>51882.062349316009</v>
      </c>
      <c r="J25" s="45">
        <f>ASSUMPTIONS!$B$61*12</f>
        <v>6000</v>
      </c>
      <c r="K25" s="45">
        <f t="shared" si="0"/>
        <v>196661.51547900651</v>
      </c>
      <c r="L25" s="45">
        <f>L24*(1+ASSUMPTIONS!$B$59)+J25+MAX(K25,0)*0.2</f>
        <v>2187820.2121105152</v>
      </c>
      <c r="M25" s="66" t="s">
        <v>446</v>
      </c>
      <c r="N25" s="40">
        <f>ASSUMPTIONS!$C$47*(1+ASSUMPTIONS!$B$51)^18</f>
        <v>354517.89019124326</v>
      </c>
      <c r="O25" s="40">
        <f>ASSUMPTIONS!$C$33*(1+ASSUMPTIONS!$C$34)^18*12</f>
        <v>10898.481969406854</v>
      </c>
      <c r="P25" s="40">
        <f>MAX((N25-O25)*(ASSUMPTIONS!$C$65+ASSUMPTIONS!$C$67),0)</f>
        <v>99649.62838433258</v>
      </c>
      <c r="Q25" s="40">
        <f>ASSUMPTIONS!$C$28*(1+ASSUMPTIONS!$C$29)^18</f>
        <v>11988.058497554801</v>
      </c>
      <c r="R25" s="40">
        <f>ASSUMPTIONS!$B$70*12*(1+ASSUMPTIONS!$B$71)^20</f>
        <v>51882.062349316009</v>
      </c>
      <c r="S25" s="40">
        <f>ASSUMPTIONS!$C$61*12</f>
        <v>6000</v>
      </c>
      <c r="T25" s="40">
        <f t="shared" si="1"/>
        <v>195896.62292944669</v>
      </c>
      <c r="U25" s="40">
        <f>U24*(1+ASSUMPTIONS!$C$59)+S25+MAX(T25,0)*0.2</f>
        <v>2185211.7937629516</v>
      </c>
      <c r="V25" s="67" t="s">
        <v>327</v>
      </c>
      <c r="W25" s="68">
        <f>ASSUMPTIONS!$D$48*(1+ASSUMPTIONS!$B$51)^12</f>
        <v>368237.41027056682</v>
      </c>
      <c r="X25" s="68">
        <f>ASSUMPTIONS!$D$33*(1+ASSUMPTIONS!$D$34)^18*12</f>
        <v>10898.481969406854</v>
      </c>
      <c r="Y25" s="68">
        <f>MAX((W25-X25)*(ASSUMPTIONS!$D$66+ASSUMPTIONS!$D$67),0)</f>
        <v>110775.06777335959</v>
      </c>
      <c r="Z25" s="68">
        <f>ASSUMPTIONS!$D$28*(1+ASSUMPTIONS!$D$29)^18</f>
        <v>0</v>
      </c>
      <c r="AA25" s="68">
        <f>ASSUMPTIONS!$B$70*12*(1+ASSUMPTIONS!$B$71)^20</f>
        <v>51882.062349316009</v>
      </c>
      <c r="AB25" s="68">
        <f>ASSUMPTIONS!$D$61*12</f>
        <v>6000</v>
      </c>
      <c r="AC25" s="68">
        <f t="shared" si="2"/>
        <v>210478.76211729803</v>
      </c>
      <c r="AD25" s="68">
        <f>AD24*(1+ASSUMPTIONS!$D$59)+AB25+MAX(AC25,0)*0.2</f>
        <v>1977694.327743022</v>
      </c>
      <c r="AE25" s="69">
        <f t="shared" si="3"/>
        <v>-4434.1167313055485</v>
      </c>
      <c r="AF25" s="69">
        <f t="shared" si="4"/>
        <v>-18153.636810629105</v>
      </c>
      <c r="AG25" s="69">
        <f t="shared" si="5"/>
        <v>2608.4183475635946</v>
      </c>
      <c r="AH25" s="69">
        <f t="shared" si="6"/>
        <v>210125.88436749321</v>
      </c>
    </row>
    <row r="26" spans="1:34" ht="18" customHeight="1" x14ac:dyDescent="0.2">
      <c r="A26" s="63">
        <v>21</v>
      </c>
      <c r="B26" s="64">
        <v>2047</v>
      </c>
      <c r="C26" s="63">
        <v>57</v>
      </c>
      <c r="D26" s="70" t="s">
        <v>327</v>
      </c>
      <c r="E26" s="39">
        <f>ASSUMPTIONS!$B$21*(1+ASSUMPTIONS!$B$23)^13*12+ASSUMPTIONS!$B$48*(1+ASSUMPTIONS!$B$51)^7</f>
        <v>365089.10561232123</v>
      </c>
      <c r="F26" s="39">
        <f>ASSUMPTIONS!$B$33*(1+ASSUMPTIONS!$B$34)^13*12</f>
        <v>9492.9334600939801</v>
      </c>
      <c r="G26" s="39">
        <f>MAX((E26-F26)*(ASSUMPTIONS!$B$66+ASSUMPTIONS!$B$67),0)</f>
        <v>110234.81336719045</v>
      </c>
      <c r="H26" s="39">
        <f>ASSUMPTIONS!$B$26*(1+ASSUMPTIONS!$B$27)^13</f>
        <v>267.27313584818461</v>
      </c>
      <c r="I26" s="39">
        <f>ASSUMPTIONS!$B$70*12*(1+ASSUMPTIONS!$B$71)^21</f>
        <v>53438.524219795487</v>
      </c>
      <c r="J26" s="39">
        <f>ASSUMPTIONS!$B$61*12</f>
        <v>6000</v>
      </c>
      <c r="K26" s="39">
        <f t="shared" si="0"/>
        <v>204641.42834958114</v>
      </c>
      <c r="L26" s="39">
        <f>L25*(1+ASSUMPTIONS!$B$59)+J26+MAX(K26,0)*0.2</f>
        <v>2387895.9126281678</v>
      </c>
      <c r="M26" s="70" t="s">
        <v>446</v>
      </c>
      <c r="N26" s="39">
        <f>ASSUMPTIONS!$C$47*(1+ASSUMPTIONS!$B$51)^19</f>
        <v>368698.60579889303</v>
      </c>
      <c r="O26" s="39">
        <f>ASSUMPTIONS!$C$33*(1+ASSUMPTIONS!$C$34)^19*12</f>
        <v>11203.639464550246</v>
      </c>
      <c r="P26" s="39">
        <f>MAX((N26-O26)*(ASSUMPTIONS!$C$65+ASSUMPTIONS!$C$67),0)</f>
        <v>103673.54023695942</v>
      </c>
      <c r="Q26" s="39">
        <f>ASSUMPTIONS!$C$28*(1+ASSUMPTIONS!$C$29)^19</f>
        <v>12947.103177359186</v>
      </c>
      <c r="R26" s="39">
        <f>ASSUMPTIONS!$B$70*12*(1+ASSUMPTIONS!$B$71)^21</f>
        <v>53438.524219795487</v>
      </c>
      <c r="S26" s="39">
        <f>ASSUMPTIONS!$C$61*12</f>
        <v>6000</v>
      </c>
      <c r="T26" s="39">
        <f t="shared" si="1"/>
        <v>203843.07762932917</v>
      </c>
      <c r="U26" s="39">
        <f>U25*(1+ASSUMPTIONS!$C$59)+S26+MAX(T26,0)*0.2</f>
        <v>2384945.2348522241</v>
      </c>
      <c r="V26" s="70" t="s">
        <v>327</v>
      </c>
      <c r="W26" s="39">
        <f>ASSUMPTIONS!$D$48*(1+ASSUMPTIONS!$B$51)^13</f>
        <v>382966.90668138949</v>
      </c>
      <c r="X26" s="39">
        <f>ASSUMPTIONS!$D$33*(1+ASSUMPTIONS!$D$34)^19*12</f>
        <v>11203.639464550246</v>
      </c>
      <c r="Y26" s="39">
        <f>MAX((W26-X26)*(ASSUMPTIONS!$D$66+ASSUMPTIONS!$D$67),0)</f>
        <v>115246.61283722016</v>
      </c>
      <c r="Z26" s="39">
        <f>ASSUMPTIONS!$D$28*(1+ASSUMPTIONS!$D$29)^19</f>
        <v>0</v>
      </c>
      <c r="AA26" s="39">
        <f>ASSUMPTIONS!$B$70*12*(1+ASSUMPTIONS!$B$71)^21</f>
        <v>53438.524219795487</v>
      </c>
      <c r="AB26" s="39">
        <f>ASSUMPTIONS!$D$61*12</f>
        <v>6000</v>
      </c>
      <c r="AC26" s="39">
        <f t="shared" si="2"/>
        <v>219485.40908892406</v>
      </c>
      <c r="AD26" s="39">
        <f>AD25*(1+ASSUMPTIONS!$D$59)+AB26+MAX(AC26,0)*0.2</f>
        <v>2166030.0125028184</v>
      </c>
      <c r="AE26" s="39">
        <f t="shared" si="3"/>
        <v>-5320.2061910280609</v>
      </c>
      <c r="AF26" s="39">
        <f t="shared" si="4"/>
        <v>-19588.507073524524</v>
      </c>
      <c r="AG26" s="39">
        <f t="shared" si="5"/>
        <v>2950.6777759436518</v>
      </c>
      <c r="AH26" s="39">
        <f t="shared" si="6"/>
        <v>221865.90012534941</v>
      </c>
    </row>
    <row r="27" spans="1:34" ht="18" customHeight="1" x14ac:dyDescent="0.2">
      <c r="A27" s="63">
        <v>22</v>
      </c>
      <c r="B27" s="64">
        <v>2048</v>
      </c>
      <c r="C27" s="63">
        <v>58</v>
      </c>
      <c r="D27" s="65" t="s">
        <v>327</v>
      </c>
      <c r="E27" s="45">
        <f>ASSUMPTIONS!$B$21*(1+ASSUMPTIONS!$B$23)^14*12+ASSUMPTIONS!$B$48*(1+ASSUMPTIONS!$B$51)^8</f>
        <v>378943.57228015718</v>
      </c>
      <c r="F27" s="45">
        <f>ASSUMPTIONS!$B$33*(1+ASSUMPTIONS!$B$34)^14*12</f>
        <v>9758.7355969766104</v>
      </c>
      <c r="G27" s="45">
        <f>MAX((E27-F27)*(ASSUMPTIONS!$B$66+ASSUMPTIONS!$B$67),0)</f>
        <v>114447.29937178598</v>
      </c>
      <c r="H27" s="45">
        <f>ASSUMPTIONS!$B$26*(1+ASSUMPTIONS!$B$27)^14</f>
        <v>275.2913299236302</v>
      </c>
      <c r="I27" s="45">
        <f>ASSUMPTIONS!$B$70*12*(1+ASSUMPTIONS!$B$71)^22</f>
        <v>55041.679946389355</v>
      </c>
      <c r="J27" s="45">
        <f>ASSUMPTIONS!$B$61*12</f>
        <v>6000</v>
      </c>
      <c r="K27" s="45">
        <f t="shared" si="0"/>
        <v>212938.03722903482</v>
      </c>
      <c r="L27" s="45">
        <f>L26*(1+ASSUMPTIONS!$B$59)+J27+MAX(K27,0)*0.2</f>
        <v>2603636.2339579463</v>
      </c>
      <c r="M27" s="66" t="s">
        <v>446</v>
      </c>
      <c r="N27" s="40">
        <f>ASSUMPTIONS!$C$47*(1+ASSUMPTIONS!$B$51)^20</f>
        <v>383446.55003084871</v>
      </c>
      <c r="O27" s="40">
        <f>ASSUMPTIONS!$C$33*(1+ASSUMPTIONS!$C$34)^20*12</f>
        <v>11517.341369557653</v>
      </c>
      <c r="P27" s="40">
        <f>MAX((N27-O27)*(ASSUMPTIONS!$C$65+ASSUMPTIONS!$C$67),0)</f>
        <v>107859.47051177442</v>
      </c>
      <c r="Q27" s="40">
        <f>ASSUMPTIONS!$C$28*(1+ASSUMPTIONS!$C$29)^20</f>
        <v>13982.871431547919</v>
      </c>
      <c r="R27" s="40">
        <f>ASSUMPTIONS!$B$70*12*(1+ASSUMPTIONS!$B$71)^22</f>
        <v>55041.679946389355</v>
      </c>
      <c r="S27" s="40">
        <f>ASSUMPTIONS!$C$61*12</f>
        <v>6000</v>
      </c>
      <c r="T27" s="40">
        <f t="shared" si="1"/>
        <v>212079.8695106947</v>
      </c>
      <c r="U27" s="40">
        <f>U26*(1+ASSUMPTIONS!$C$59)+S27+MAX(T27,0)*0.2</f>
        <v>2600307.3751940187</v>
      </c>
      <c r="V27" s="67" t="s">
        <v>327</v>
      </c>
      <c r="W27" s="68">
        <f>ASSUMPTIONS!$D$48*(1+ASSUMPTIONS!$B$51)^14</f>
        <v>398285.58294864505</v>
      </c>
      <c r="X27" s="68">
        <f>ASSUMPTIONS!$D$33*(1+ASSUMPTIONS!$D$34)^20*12</f>
        <v>11517.341369557653</v>
      </c>
      <c r="Y27" s="68">
        <f>MAX((W27-X27)*(ASSUMPTIONS!$D$66+ASSUMPTIONS!$D$67),0)</f>
        <v>119898.15488951709</v>
      </c>
      <c r="Z27" s="68">
        <f>ASSUMPTIONS!$D$28*(1+ASSUMPTIONS!$D$29)^20</f>
        <v>0</v>
      </c>
      <c r="AA27" s="68">
        <f>ASSUMPTIONS!$B$70*12*(1+ASSUMPTIONS!$B$71)^22</f>
        <v>55041.679946389355</v>
      </c>
      <c r="AB27" s="68">
        <f>ASSUMPTIONS!$D$61*12</f>
        <v>6000</v>
      </c>
      <c r="AC27" s="68">
        <f t="shared" si="2"/>
        <v>228863.08948229632</v>
      </c>
      <c r="AD27" s="68">
        <f>AD26*(1+ASSUMPTIONS!$D$59)+AB27+MAX(AC27,0)*0.2</f>
        <v>2369424.7312744749</v>
      </c>
      <c r="AE27" s="69">
        <f t="shared" si="3"/>
        <v>-6261.5835232725949</v>
      </c>
      <c r="AF27" s="69">
        <f t="shared" si="4"/>
        <v>-21100.616441068938</v>
      </c>
      <c r="AG27" s="69">
        <f t="shared" si="5"/>
        <v>3328.8587639275938</v>
      </c>
      <c r="AH27" s="69">
        <f t="shared" si="6"/>
        <v>234211.50268347142</v>
      </c>
    </row>
    <row r="28" spans="1:34" ht="18" customHeight="1" x14ac:dyDescent="0.2">
      <c r="A28" s="63">
        <v>23</v>
      </c>
      <c r="B28" s="64">
        <v>2049</v>
      </c>
      <c r="C28" s="63">
        <v>59</v>
      </c>
      <c r="D28" s="70" t="s">
        <v>327</v>
      </c>
      <c r="E28" s="39">
        <f>ASSUMPTIONS!$B$21*(1+ASSUMPTIONS!$B$23)^15*12+ASSUMPTIONS!$B$48*(1+ASSUMPTIONS!$B$51)^9</f>
        <v>393331.24288312014</v>
      </c>
      <c r="F28" s="39">
        <f>ASSUMPTIONS!$B$33*(1+ASSUMPTIONS!$B$34)^15*12</f>
        <v>10031.980193691956</v>
      </c>
      <c r="G28" s="39">
        <f>MAX((E28-F28)*(ASSUMPTIONS!$B$66+ASSUMPTIONS!$B$67),0)</f>
        <v>118822.77143372274</v>
      </c>
      <c r="H28" s="39">
        <f>ASSUMPTIONS!$B$26*(1+ASSUMPTIONS!$B$27)^15</f>
        <v>283.55006982133915</v>
      </c>
      <c r="I28" s="39">
        <f>ASSUMPTIONS!$B$70*12*(1+ASSUMPTIONS!$B$71)^23</f>
        <v>56692.930344781038</v>
      </c>
      <c r="J28" s="39">
        <f>ASSUMPTIONS!$B$61*12</f>
        <v>6000</v>
      </c>
      <c r="K28" s="39">
        <f t="shared" si="0"/>
        <v>221563.97122848697</v>
      </c>
      <c r="L28" s="39">
        <f>L27*(1+ASSUMPTIONS!$B$59)+J28+MAX(K28,0)*0.2</f>
        <v>2836203.5645807004</v>
      </c>
      <c r="M28" s="70" t="s">
        <v>446</v>
      </c>
      <c r="N28" s="39">
        <f>ASSUMPTIONS!$C$47*(1+ASSUMPTIONS!$B$51)^21</f>
        <v>398784.41203208279</v>
      </c>
      <c r="O28" s="39">
        <f>ASSUMPTIONS!$C$33*(1+ASSUMPTIONS!$C$34)^21*12</f>
        <v>11839.826927905269</v>
      </c>
      <c r="P28" s="39">
        <f>MAX((N28-O28)*(ASSUMPTIONS!$C$65+ASSUMPTIONS!$C$67),0)</f>
        <v>112213.9296802115</v>
      </c>
      <c r="Q28" s="39">
        <f>ASSUMPTIONS!$C$28*(1+ASSUMPTIONS!$C$29)^21</f>
        <v>15101.501146071754</v>
      </c>
      <c r="R28" s="39">
        <f>ASSUMPTIONS!$B$70*12*(1+ASSUMPTIONS!$B$71)^23</f>
        <v>56692.930344781038</v>
      </c>
      <c r="S28" s="39">
        <f>ASSUMPTIONS!$C$61*12</f>
        <v>6000</v>
      </c>
      <c r="T28" s="39">
        <f t="shared" si="1"/>
        <v>220615.87778892374</v>
      </c>
      <c r="U28" s="39">
        <f>U27*(1+ASSUMPTIONS!$C$59)+S28+MAX(T28,0)*0.2</f>
        <v>2832452.0670153848</v>
      </c>
      <c r="V28" s="70" t="s">
        <v>327</v>
      </c>
      <c r="W28" s="39">
        <f>ASSUMPTIONS!$D$48*(1+ASSUMPTIONS!$B$51)^15</f>
        <v>414217.00626659085</v>
      </c>
      <c r="X28" s="39">
        <f>ASSUMPTIONS!$D$33*(1+ASSUMPTIONS!$D$34)^21*12</f>
        <v>11839.826927905269</v>
      </c>
      <c r="Y28" s="39">
        <f>MAX((W28-X28)*(ASSUMPTIONS!$D$66+ASSUMPTIONS!$D$67),0)</f>
        <v>124736.92559499253</v>
      </c>
      <c r="Z28" s="39">
        <f>ASSUMPTIONS!$D$28*(1+ASSUMPTIONS!$D$29)^21</f>
        <v>0</v>
      </c>
      <c r="AA28" s="39">
        <f>ASSUMPTIONS!$B$70*12*(1+ASSUMPTIONS!$B$71)^23</f>
        <v>56692.930344781038</v>
      </c>
      <c r="AB28" s="39">
        <f>ASSUMPTIONS!$D$61*12</f>
        <v>6000</v>
      </c>
      <c r="AC28" s="39">
        <f t="shared" si="2"/>
        <v>238626.97725472256</v>
      </c>
      <c r="AD28" s="39">
        <f>AD27*(1+ASSUMPTIONS!$D$59)+AB28+MAX(AC28,0)*0.2</f>
        <v>2589009.8579146327</v>
      </c>
      <c r="AE28" s="39">
        <f t="shared" si="3"/>
        <v>-7261.0158831759472</v>
      </c>
      <c r="AF28" s="39">
        <f t="shared" si="4"/>
        <v>-22693.610117684002</v>
      </c>
      <c r="AG28" s="39">
        <f t="shared" si="5"/>
        <v>3751.4975653155707</v>
      </c>
      <c r="AH28" s="39">
        <f t="shared" si="6"/>
        <v>247193.70666606771</v>
      </c>
    </row>
    <row r="29" spans="1:34" ht="18" customHeight="1" x14ac:dyDescent="0.2">
      <c r="A29" s="63">
        <v>24</v>
      </c>
      <c r="B29" s="64">
        <v>2050</v>
      </c>
      <c r="C29" s="63">
        <v>60</v>
      </c>
      <c r="D29" s="65" t="s">
        <v>327</v>
      </c>
      <c r="E29" s="45">
        <f>ASSUMPTIONS!$B$21*(1+ASSUMPTIONS!$B$23)^16*12+ASSUMPTIONS!$B$48*(1+ASSUMPTIONS!$B$51)^10</f>
        <v>408272.85828613082</v>
      </c>
      <c r="F29" s="45">
        <f>ASSUMPTIONS!$B$33*(1+ASSUMPTIONS!$B$34)^16*12</f>
        <v>10312.875639115329</v>
      </c>
      <c r="G29" s="45">
        <f>MAX((E29-F29)*(ASSUMPTIONS!$B$66+ASSUMPTIONS!$B$67),0)</f>
        <v>123367.5946205748</v>
      </c>
      <c r="H29" s="45">
        <f>ASSUMPTIONS!$B$26*(1+ASSUMPTIONS!$B$27)^16</f>
        <v>292.05657191597925</v>
      </c>
      <c r="I29" s="45">
        <f>ASSUMPTIONS!$B$70*12*(1+ASSUMPTIONS!$B$71)^24</f>
        <v>58393.718255124462</v>
      </c>
      <c r="J29" s="45">
        <f>ASSUMPTIONS!$B$61*12</f>
        <v>6000</v>
      </c>
      <c r="K29" s="45">
        <f t="shared" si="0"/>
        <v>230532.36447763094</v>
      </c>
      <c r="L29" s="45">
        <f>L28*(1+ASSUMPTIONS!$B$59)+J29+MAX(K29,0)*0.2</f>
        <v>3086844.2869968759</v>
      </c>
      <c r="M29" s="66" t="s">
        <v>446</v>
      </c>
      <c r="N29" s="40">
        <f>ASSUMPTIONS!$C$47*(1+ASSUMPTIONS!$B$51)^22</f>
        <v>414735.78851336607</v>
      </c>
      <c r="O29" s="40">
        <f>ASSUMPTIONS!$C$33*(1+ASSUMPTIONS!$C$34)^22*12</f>
        <v>12171.342081886616</v>
      </c>
      <c r="P29" s="40">
        <f>MAX((N29-O29)*(ASSUMPTIONS!$C$65+ASSUMPTIONS!$C$67),0)</f>
        <v>116743.68946512906</v>
      </c>
      <c r="Q29" s="40">
        <f>ASSUMPTIONS!$C$28*(1+ASSUMPTIONS!$C$29)^22</f>
        <v>16309.621237757496</v>
      </c>
      <c r="R29" s="40">
        <f>ASSUMPTIONS!$B$70*12*(1+ASSUMPTIONS!$B$71)^24</f>
        <v>58393.718255124462</v>
      </c>
      <c r="S29" s="40">
        <f>ASSUMPTIONS!$C$61*12</f>
        <v>6000</v>
      </c>
      <c r="T29" s="40">
        <f t="shared" si="1"/>
        <v>229460.10163724166</v>
      </c>
      <c r="U29" s="40">
        <f>U28*(1+ASSUMPTIONS!$C$59)+S29+MAX(T29,0)*0.2</f>
        <v>3082615.7320339102</v>
      </c>
      <c r="V29" s="67" t="s">
        <v>327</v>
      </c>
      <c r="W29" s="68">
        <f>ASSUMPTIONS!$D$48*(1+ASSUMPTIONS!$B$51)^16</f>
        <v>430785.68651725457</v>
      </c>
      <c r="X29" s="68">
        <f>ASSUMPTIONS!$D$33*(1+ASSUMPTIONS!$D$34)^22*12</f>
        <v>12171.342081886616</v>
      </c>
      <c r="Y29" s="68">
        <f>MAX((W29-X29)*(ASSUMPTIONS!$D$66+ASSUMPTIONS!$D$67),0)</f>
        <v>129770.44677496408</v>
      </c>
      <c r="Z29" s="68">
        <f>ASSUMPTIONS!$D$28*(1+ASSUMPTIONS!$D$29)^22</f>
        <v>0</v>
      </c>
      <c r="AA29" s="68">
        <f>ASSUMPTIONS!$B$70*12*(1+ASSUMPTIONS!$B$71)^24</f>
        <v>58393.718255124462</v>
      </c>
      <c r="AB29" s="68">
        <f>ASSUMPTIONS!$D$61*12</f>
        <v>6000</v>
      </c>
      <c r="AC29" s="68">
        <f t="shared" si="2"/>
        <v>248792.8635690526</v>
      </c>
      <c r="AD29" s="68">
        <f>AD28*(1+ASSUMPTIONS!$D$59)+AB29+MAX(AC29,0)*0.2</f>
        <v>2825999.1206824677</v>
      </c>
      <c r="AE29" s="69">
        <f t="shared" si="3"/>
        <v>-8321.3966700065066</v>
      </c>
      <c r="AF29" s="69">
        <f t="shared" si="4"/>
        <v>-24371.294673894998</v>
      </c>
      <c r="AG29" s="69">
        <f t="shared" si="5"/>
        <v>4228.5549629656598</v>
      </c>
      <c r="AH29" s="69">
        <f t="shared" si="6"/>
        <v>260845.16631440818</v>
      </c>
    </row>
    <row r="30" spans="1:34" ht="18" customHeight="1" x14ac:dyDescent="0.2">
      <c r="A30" s="63">
        <v>25</v>
      </c>
      <c r="B30" s="64">
        <v>2051</v>
      </c>
      <c r="C30" s="63">
        <v>61</v>
      </c>
      <c r="D30" s="70" t="s">
        <v>327</v>
      </c>
      <c r="E30" s="39">
        <f>ASSUMPTIONS!$B$21*(1+ASSUMPTIONS!$B$23)^17*12+ASSUMPTIONS!$B$48*(1+ASSUMPTIONS!$B$51)^11</f>
        <v>423789.97254451708</v>
      </c>
      <c r="F30" s="39">
        <f>ASSUMPTIONS!$B$33*(1+ASSUMPTIONS!$B$34)^17*12</f>
        <v>10601.63615701056</v>
      </c>
      <c r="G30" s="39">
        <f>MAX((E30-F30)*(ASSUMPTIONS!$B$66+ASSUMPTIONS!$B$67),0)</f>
        <v>128088.38428012702</v>
      </c>
      <c r="H30" s="39">
        <f>ASSUMPTIONS!$B$26*(1+ASSUMPTIONS!$B$27)^17</f>
        <v>300.81826907345862</v>
      </c>
      <c r="I30" s="39">
        <f>ASSUMPTIONS!$B$70*12*(1+ASSUMPTIONS!$B$71)^25</f>
        <v>60145.529802778197</v>
      </c>
      <c r="J30" s="39">
        <f>ASSUMPTIONS!$B$61*12</f>
        <v>6000</v>
      </c>
      <c r="K30" s="39">
        <f t="shared" si="0"/>
        <v>239856.87634954898</v>
      </c>
      <c r="L30" s="39">
        <f>L29*(1+ASSUMPTIONS!$B$59)+J30+MAX(K30,0)*0.2</f>
        <v>3356894.7623565672</v>
      </c>
      <c r="M30" s="70" t="s">
        <v>446</v>
      </c>
      <c r="N30" s="39">
        <f>ASSUMPTIONS!$C$47*(1+ASSUMPTIONS!$B$51)^23</f>
        <v>431325.22005390067</v>
      </c>
      <c r="O30" s="39">
        <f>ASSUMPTIONS!$C$33*(1+ASSUMPTIONS!$C$34)^23*12</f>
        <v>12512.13966017944</v>
      </c>
      <c r="P30" s="39">
        <f>MAX((N30-O30)*(ASSUMPTIONS!$C$65+ASSUMPTIONS!$C$67),0)</f>
        <v>121455.79331417917</v>
      </c>
      <c r="Q30" s="39">
        <f>ASSUMPTIONS!$C$28*(1+ASSUMPTIONS!$C$29)^23</f>
        <v>17614.390936778098</v>
      </c>
      <c r="R30" s="39">
        <f>ASSUMPTIONS!$B$70*12*(1+ASSUMPTIONS!$B$71)^25</f>
        <v>60145.529802778197</v>
      </c>
      <c r="S30" s="39">
        <f>ASSUMPTIONS!$C$61*12</f>
        <v>6000</v>
      </c>
      <c r="T30" s="39">
        <f t="shared" si="1"/>
        <v>238621.64566034463</v>
      </c>
      <c r="U30" s="39">
        <f>U29*(1+ASSUMPTIONS!$C$59)+S30+MAX(T30,0)*0.2</f>
        <v>3352123.1624083528</v>
      </c>
      <c r="V30" s="70" t="s">
        <v>327</v>
      </c>
      <c r="W30" s="39">
        <f>ASSUMPTIONS!$D$48*(1+ASSUMPTIONS!$B$51)^17</f>
        <v>448017.11397794477</v>
      </c>
      <c r="X30" s="39">
        <f>ASSUMPTIONS!$D$33*(1+ASSUMPTIONS!$D$34)^23*12</f>
        <v>12512.13966017944</v>
      </c>
      <c r="Y30" s="39">
        <f>MAX((W30-X30)*(ASSUMPTIONS!$D$66+ASSUMPTIONS!$D$67),0)</f>
        <v>135006.54203850726</v>
      </c>
      <c r="Z30" s="39">
        <f>ASSUMPTIONS!$D$28*(1+ASSUMPTIONS!$D$29)^23</f>
        <v>0</v>
      </c>
      <c r="AA30" s="39">
        <f>ASSUMPTIONS!$B$70*12*(1+ASSUMPTIONS!$B$71)^25</f>
        <v>60145.529802778197</v>
      </c>
      <c r="AB30" s="39">
        <f>ASSUMPTIONS!$D$61*12</f>
        <v>6000</v>
      </c>
      <c r="AC30" s="39">
        <f t="shared" si="2"/>
        <v>259377.1817968387</v>
      </c>
      <c r="AD30" s="39">
        <f>AD29*(1+ASSUMPTIONS!$D$59)+AB30+MAX(AC30,0)*0.2</f>
        <v>3081694.4954896085</v>
      </c>
      <c r="AE30" s="39">
        <f t="shared" si="3"/>
        <v>-9445.7510125524714</v>
      </c>
      <c r="AF30" s="39">
        <f t="shared" si="4"/>
        <v>-26137.644936596567</v>
      </c>
      <c r="AG30" s="39">
        <f t="shared" si="5"/>
        <v>4771.599948214367</v>
      </c>
      <c r="AH30" s="39">
        <f t="shared" si="6"/>
        <v>275200.2668669587</v>
      </c>
    </row>
    <row r="31" spans="1:34" ht="18" customHeight="1" x14ac:dyDescent="0.2">
      <c r="A31" s="63">
        <v>26</v>
      </c>
      <c r="B31" s="64">
        <v>2052</v>
      </c>
      <c r="C31" s="63">
        <v>62</v>
      </c>
      <c r="D31" s="65" t="s">
        <v>327</v>
      </c>
      <c r="E31" s="45">
        <f>ASSUMPTIONS!$B$21*(1+ASSUMPTIONS!$B$23)^18*12+ASSUMPTIONS!$B$48*(1+ASSUMPTIONS!$B$51)^12</f>
        <v>439904.98497119325</v>
      </c>
      <c r="F31" s="45">
        <f>ASSUMPTIONS!$B$33*(1+ASSUMPTIONS!$B$34)^18*12</f>
        <v>10898.481969406854</v>
      </c>
      <c r="G31" s="45">
        <f>MAX((E31-F31)*(ASSUMPTIONS!$B$66+ASSUMPTIONS!$B$67),0)</f>
        <v>132992.01593055378</v>
      </c>
      <c r="H31" s="45">
        <f>ASSUMPTIONS!$B$26*(1+ASSUMPTIONS!$B$27)^18</f>
        <v>309.84281714566237</v>
      </c>
      <c r="I31" s="45">
        <f>ASSUMPTIONS!$B$70*12*(1+ASSUMPTIONS!$B$71)^26</f>
        <v>61949.895696861553</v>
      </c>
      <c r="J31" s="45">
        <f>ASSUMPTIONS!$B$61*12</f>
        <v>6000</v>
      </c>
      <c r="K31" s="45">
        <f t="shared" si="0"/>
        <v>249551.71249603905</v>
      </c>
      <c r="L31" s="45">
        <f>L30*(1+ASSUMPTIONS!$B$59)+J31+MAX(K31,0)*0.2</f>
        <v>3647787.738220735</v>
      </c>
      <c r="M31" s="66" t="s">
        <v>446</v>
      </c>
      <c r="N31" s="40">
        <f>ASSUMPTIONS!$C$47*(1+ASSUMPTIONS!$B$51)^24</f>
        <v>448578.22885605675</v>
      </c>
      <c r="O31" s="40">
        <f>ASSUMPTIONS!$C$33*(1+ASSUMPTIONS!$C$34)^24*12</f>
        <v>12862.479570664465</v>
      </c>
      <c r="P31" s="40">
        <f>MAX((N31-O31)*(ASSUMPTIONS!$C$65+ASSUMPTIONS!$C$67),0)</f>
        <v>126357.56729276378</v>
      </c>
      <c r="Q31" s="40">
        <f>ASSUMPTIONS!$C$28*(1+ASSUMPTIONS!$C$29)^24</f>
        <v>19023.542211720345</v>
      </c>
      <c r="R31" s="40">
        <f>ASSUMPTIONS!$B$70*12*(1+ASSUMPTIONS!$B$71)^26</f>
        <v>61949.895696861553</v>
      </c>
      <c r="S31" s="40">
        <f>ASSUMPTIONS!$C$61*12</f>
        <v>6000</v>
      </c>
      <c r="T31" s="40">
        <f t="shared" si="1"/>
        <v>248109.7032253755</v>
      </c>
      <c r="U31" s="40">
        <f>U30*(1+ASSUMPTIONS!$C$59)+S31+MAX(T31,0)*0.2</f>
        <v>3642393.7244220125</v>
      </c>
      <c r="V31" s="67" t="s">
        <v>327</v>
      </c>
      <c r="W31" s="68">
        <f>ASSUMPTIONS!$D$48*(1+ASSUMPTIONS!$B$51)^18</f>
        <v>465937.7985370626</v>
      </c>
      <c r="X31" s="68">
        <f>ASSUMPTIONS!$D$33*(1+ASSUMPTIONS!$D$34)^24*12</f>
        <v>12862.479570664465</v>
      </c>
      <c r="Y31" s="68">
        <f>MAX((W31-X31)*(ASSUMPTIONS!$D$66+ASSUMPTIONS!$D$67),0)</f>
        <v>140453.34887958341</v>
      </c>
      <c r="Z31" s="68">
        <f>ASSUMPTIONS!$D$28*(1+ASSUMPTIONS!$D$29)^24</f>
        <v>0</v>
      </c>
      <c r="AA31" s="68">
        <f>ASSUMPTIONS!$B$70*12*(1+ASSUMPTIONS!$B$71)^26</f>
        <v>61949.895696861553</v>
      </c>
      <c r="AB31" s="68">
        <f>ASSUMPTIONS!$D$61*12</f>
        <v>6000</v>
      </c>
      <c r="AC31" s="68">
        <f t="shared" si="2"/>
        <v>270397.0335312821</v>
      </c>
      <c r="AD31" s="68">
        <f>AD30*(1+ASSUMPTIONS!$D$59)+AB31+MAX(AC31,0)*0.2</f>
        <v>3357492.5168801374</v>
      </c>
      <c r="AE31" s="69">
        <f t="shared" si="3"/>
        <v>-10637.241486121144</v>
      </c>
      <c r="AF31" s="69">
        <f t="shared" si="4"/>
        <v>-27996.811167126987</v>
      </c>
      <c r="AG31" s="69">
        <f t="shared" si="5"/>
        <v>5394.0137987225316</v>
      </c>
      <c r="AH31" s="69">
        <f t="shared" si="6"/>
        <v>290295.22134059761</v>
      </c>
    </row>
    <row r="32" spans="1:34" ht="18" customHeight="1" x14ac:dyDescent="0.2">
      <c r="A32" s="63">
        <v>27</v>
      </c>
      <c r="B32" s="64">
        <v>2053</v>
      </c>
      <c r="C32" s="63">
        <v>63</v>
      </c>
      <c r="D32" s="70" t="s">
        <v>327</v>
      </c>
      <c r="E32" s="39">
        <f>ASSUMPTIONS!$B$21*(1+ASSUMPTIONS!$B$23)^19*12+ASSUMPTIONS!$B$48*(1+ASSUMPTIONS!$B$51)^13</f>
        <v>456641.17347363348</v>
      </c>
      <c r="F32" s="39">
        <f>ASSUMPTIONS!$B$33*(1+ASSUMPTIONS!$B$34)^19*12</f>
        <v>11203.639464550246</v>
      </c>
      <c r="G32" s="39">
        <f>MAX((E32-F32)*(ASSUMPTIONS!$B$66+ASSUMPTIONS!$B$67),0)</f>
        <v>138085.63554281581</v>
      </c>
      <c r="H32" s="39">
        <f>ASSUMPTIONS!$B$26*(1+ASSUMPTIONS!$B$27)^19</f>
        <v>319.13810166003225</v>
      </c>
      <c r="I32" s="39">
        <f>ASSUMPTIONS!$B$70*12*(1+ASSUMPTIONS!$B$71)^27</f>
        <v>63808.392567767391</v>
      </c>
      <c r="J32" s="39">
        <f>ASSUMPTIONS!$B$61*12</f>
        <v>6000</v>
      </c>
      <c r="K32" s="39">
        <f t="shared" si="0"/>
        <v>259631.64672594046</v>
      </c>
      <c r="L32" s="39">
        <f>L31*(1+ASSUMPTIONS!$B$59)+J32+MAX(K32,0)*0.2</f>
        <v>3961059.2092413749</v>
      </c>
      <c r="M32" s="70" t="s">
        <v>446</v>
      </c>
      <c r="N32" s="39">
        <f>ASSUMPTIONS!$C$47*(1+ASSUMPTIONS!$B$51)^25</f>
        <v>466521.3580102991</v>
      </c>
      <c r="O32" s="39">
        <f>ASSUMPTIONS!$C$33*(1+ASSUMPTIONS!$C$34)^25*12</f>
        <v>13222.628998643071</v>
      </c>
      <c r="P32" s="39">
        <f>MAX((N32-O32)*(ASSUMPTIONS!$C$65+ASSUMPTIONS!$C$67),0)</f>
        <v>131456.63141338027</v>
      </c>
      <c r="Q32" s="39">
        <f>ASSUMPTIONS!$C$28*(1+ASSUMPTIONS!$C$29)^25</f>
        <v>20545.425588657974</v>
      </c>
      <c r="R32" s="39">
        <f>ASSUMPTIONS!$B$70*12*(1+ASSUMPTIONS!$B$71)^27</f>
        <v>63808.392567767391</v>
      </c>
      <c r="S32" s="39">
        <f>ASSUMPTIONS!$C$61*12</f>
        <v>6000</v>
      </c>
      <c r="T32" s="39">
        <f t="shared" si="1"/>
        <v>257933.53743913653</v>
      </c>
      <c r="U32" s="39">
        <f>U31*(1+ASSUMPTIONS!$C$59)+S32+MAX(T32,0)*0.2</f>
        <v>3954947.9926193808</v>
      </c>
      <c r="V32" s="70" t="s">
        <v>327</v>
      </c>
      <c r="W32" s="39">
        <f>ASSUMPTIONS!$D$48*(1+ASSUMPTIONS!$B$51)^19</f>
        <v>484575.31047854509</v>
      </c>
      <c r="X32" s="39">
        <f>ASSUMPTIONS!$D$33*(1+ASSUMPTIONS!$D$34)^25*12</f>
        <v>13222.628998643071</v>
      </c>
      <c r="Y32" s="39">
        <f>MAX((W32-X32)*(ASSUMPTIONS!$D$66+ASSUMPTIONS!$D$67),0)</f>
        <v>146119.33125876961</v>
      </c>
      <c r="Z32" s="39">
        <f>ASSUMPTIONS!$D$28*(1+ASSUMPTIONS!$D$29)^25</f>
        <v>0</v>
      </c>
      <c r="AA32" s="39">
        <f>ASSUMPTIONS!$B$70*12*(1+ASSUMPTIONS!$B$71)^27</f>
        <v>63808.392567767391</v>
      </c>
      <c r="AB32" s="39">
        <f>ASSUMPTIONS!$D$61*12</f>
        <v>6000</v>
      </c>
      <c r="AC32" s="39">
        <f t="shared" si="2"/>
        <v>281870.21565065114</v>
      </c>
      <c r="AD32" s="39">
        <f>AD31*(1+ASSUMPTIONS!$D$59)+AB32+MAX(AC32,0)*0.2</f>
        <v>3654891.0361918774</v>
      </c>
      <c r="AE32" s="39">
        <f t="shared" si="3"/>
        <v>-11899.174070758454</v>
      </c>
      <c r="AF32" s="39">
        <f t="shared" si="4"/>
        <v>-29953.126539004443</v>
      </c>
      <c r="AG32" s="39">
        <f t="shared" si="5"/>
        <v>6111.2166219940409</v>
      </c>
      <c r="AH32" s="39">
        <f t="shared" si="6"/>
        <v>306168.17304949742</v>
      </c>
    </row>
    <row r="33" spans="1:35" ht="18" customHeight="1" x14ac:dyDescent="0.2">
      <c r="A33" s="63">
        <v>28</v>
      </c>
      <c r="B33" s="64">
        <v>2054</v>
      </c>
      <c r="C33" s="63">
        <v>64</v>
      </c>
      <c r="D33" s="65" t="s">
        <v>327</v>
      </c>
      <c r="E33" s="45">
        <f>ASSUMPTIONS!$B$21*(1+ASSUMPTIONS!$B$23)^20*12+ASSUMPTIONS!$B$48*(1+ASSUMPTIONS!$B$51)^14</f>
        <v>474022.72921107186</v>
      </c>
      <c r="F33" s="45">
        <f>ASSUMPTIONS!$B$33*(1+ASSUMPTIONS!$B$34)^20*12</f>
        <v>11517.341369557653</v>
      </c>
      <c r="G33" s="45">
        <f>MAX((E33-F33)*(ASSUMPTIONS!$B$66+ASSUMPTIONS!$B$67),0)</f>
        <v>143376.67023086941</v>
      </c>
      <c r="H33" s="45">
        <f>ASSUMPTIONS!$B$26*(1+ASSUMPTIONS!$B$27)^20</f>
        <v>328.71224470983321</v>
      </c>
      <c r="I33" s="45">
        <f>ASSUMPTIONS!$B$70*12*(1+ASSUMPTIONS!$B$71)^28</f>
        <v>65722.644344800414</v>
      </c>
      <c r="J33" s="45">
        <f>ASSUMPTIONS!$B$61*12</f>
        <v>6000</v>
      </c>
      <c r="K33" s="45">
        <f t="shared" si="0"/>
        <v>270112.04376024986</v>
      </c>
      <c r="L33" s="45">
        <f>L32*(1+ASSUMPTIONS!$B$59)+J33+MAX(K33,0)*0.2</f>
        <v>4298355.7626403216</v>
      </c>
      <c r="M33" s="66" t="s">
        <v>446</v>
      </c>
      <c r="N33" s="40">
        <f>ASSUMPTIONS!$C$47*(1+ASSUMPTIONS!$B$51)^26</f>
        <v>485182.21233071102</v>
      </c>
      <c r="O33" s="40">
        <f>ASSUMPTIONS!$C$33*(1+ASSUMPTIONS!$C$34)^26*12</f>
        <v>13592.862610605076</v>
      </c>
      <c r="P33" s="40">
        <f>MAX((N33-O33)*(ASSUMPTIONS!$C$65+ASSUMPTIONS!$C$67),0)</f>
        <v>136760.91141883074</v>
      </c>
      <c r="Q33" s="40">
        <f>ASSUMPTIONS!$C$28*(1+ASSUMPTIONS!$C$29)^26</f>
        <v>22189.059635750611</v>
      </c>
      <c r="R33" s="40">
        <f>ASSUMPTIONS!$B$70*12*(1+ASSUMPTIONS!$B$71)^28</f>
        <v>65722.644344800414</v>
      </c>
      <c r="S33" s="40">
        <f>ASSUMPTIONS!$C$61*12</f>
        <v>6000</v>
      </c>
      <c r="T33" s="40">
        <f t="shared" si="1"/>
        <v>268102.45954193431</v>
      </c>
      <c r="U33" s="40">
        <f>U32*(1+ASSUMPTIONS!$C$59)+S33+MAX(T33,0)*0.2</f>
        <v>4291414.8440111252</v>
      </c>
      <c r="V33" s="67" t="s">
        <v>327</v>
      </c>
      <c r="W33" s="68">
        <f>ASSUMPTIONS!$D$48*(1+ASSUMPTIONS!$B$51)^20</f>
        <v>503958.32289768691</v>
      </c>
      <c r="X33" s="68">
        <f>ASSUMPTIONS!$D$33*(1+ASSUMPTIONS!$D$34)^26*12</f>
        <v>13592.862610605076</v>
      </c>
      <c r="Y33" s="68">
        <f>MAX((W33-X33)*(ASSUMPTIONS!$D$66+ASSUMPTIONS!$D$67),0)</f>
        <v>152013.29268899537</v>
      </c>
      <c r="Z33" s="68">
        <f>ASSUMPTIONS!$D$28*(1+ASSUMPTIONS!$D$29)^26</f>
        <v>0</v>
      </c>
      <c r="AA33" s="68">
        <f>ASSUMPTIONS!$B$70*12*(1+ASSUMPTIONS!$B$71)^28</f>
        <v>65722.644344800414</v>
      </c>
      <c r="AB33" s="68">
        <f>ASSUMPTIONS!$D$61*12</f>
        <v>6000</v>
      </c>
      <c r="AC33" s="68">
        <f t="shared" si="2"/>
        <v>293815.24847449618</v>
      </c>
      <c r="AD33" s="68">
        <f>AD32*(1+ASSUMPTIONS!$D$59)+AB33+MAX(AC33,0)*0.2</f>
        <v>3975496.4584202087</v>
      </c>
      <c r="AE33" s="69">
        <f t="shared" si="3"/>
        <v>-13235.00436068658</v>
      </c>
      <c r="AF33" s="69">
        <f t="shared" si="4"/>
        <v>-32011.114927662478</v>
      </c>
      <c r="AG33" s="69">
        <f t="shared" si="5"/>
        <v>6940.9186291964725</v>
      </c>
      <c r="AH33" s="69">
        <f t="shared" si="6"/>
        <v>322859.30422011297</v>
      </c>
    </row>
    <row r="34" spans="1:35" ht="18" customHeight="1" x14ac:dyDescent="0.2">
      <c r="A34" s="63">
        <v>29</v>
      </c>
      <c r="B34" s="64">
        <v>2055</v>
      </c>
      <c r="C34" s="63">
        <v>65</v>
      </c>
      <c r="D34" s="70" t="s">
        <v>327</v>
      </c>
      <c r="E34" s="39">
        <f>ASSUMPTIONS!$B$21*(1+ASSUMPTIONS!$B$23)^21*12+ASSUMPTIONS!$B$48*(1+ASSUMPTIONS!$B$51)^15</f>
        <v>492074.79262436565</v>
      </c>
      <c r="F34" s="39">
        <f>ASSUMPTIONS!$B$33*(1+ASSUMPTIONS!$B$34)^21*12</f>
        <v>11839.826927905269</v>
      </c>
      <c r="G34" s="39">
        <f>MAX((E34-F34)*(ASSUMPTIONS!$B$66+ASSUMPTIONS!$B$67),0)</f>
        <v>148872.83936590274</v>
      </c>
      <c r="H34" s="39">
        <f>ASSUMPTIONS!$B$26*(1+ASSUMPTIONS!$B$27)^21</f>
        <v>338.57361205112818</v>
      </c>
      <c r="I34" s="39">
        <f>ASSUMPTIONS!$B$70*12*(1+ASSUMPTIONS!$B$71)^29</f>
        <v>67694.32367514442</v>
      </c>
      <c r="J34" s="39">
        <f>ASSUMPTIONS!$B$61*12</f>
        <v>6000</v>
      </c>
      <c r="K34" s="39">
        <f t="shared" si="0"/>
        <v>281008.8828991726</v>
      </c>
      <c r="L34" s="39">
        <f>L33*(1+ASSUMPTIONS!$B$59)+J34+MAX(K34,0)*0.2</f>
        <v>4661442.4426049786</v>
      </c>
      <c r="M34" s="70" t="s">
        <v>446</v>
      </c>
      <c r="N34" s="39">
        <f>ASSUMPTIONS!$C$47*(1+ASSUMPTIONS!$B$51)^27</f>
        <v>504589.50082393945</v>
      </c>
      <c r="O34" s="39">
        <f>ASSUMPTIONS!$C$33*(1+ASSUMPTIONS!$C$34)^27*12</f>
        <v>13973.462763702018</v>
      </c>
      <c r="P34" s="39">
        <f>MAX((N34-O34)*(ASSUMPTIONS!$C$65+ASSUMPTIONS!$C$67),0)</f>
        <v>142278.65103746887</v>
      </c>
      <c r="Q34" s="39">
        <f>ASSUMPTIONS!$C$28*(1+ASSUMPTIONS!$C$29)^27</f>
        <v>23964.184406610661</v>
      </c>
      <c r="R34" s="39">
        <f>ASSUMPTIONS!$B$70*12*(1+ASSUMPTIONS!$B$71)^29</f>
        <v>67694.32367514442</v>
      </c>
      <c r="S34" s="39">
        <f>ASSUMPTIONS!$C$61*12</f>
        <v>6000</v>
      </c>
      <c r="T34" s="39">
        <f t="shared" si="1"/>
        <v>278625.80446841754</v>
      </c>
      <c r="U34" s="39">
        <f>U33*(1+ASSUMPTIONS!$C$59)+S34+MAX(T34,0)*0.2</f>
        <v>4653539.0439855875</v>
      </c>
      <c r="V34" s="70" t="s">
        <v>327</v>
      </c>
      <c r="W34" s="39">
        <f>ASSUMPTIONS!$D$48*(1+ASSUMPTIONS!$B$51)^21</f>
        <v>524116.65581359452</v>
      </c>
      <c r="X34" s="39">
        <f>ASSUMPTIONS!$D$33*(1+ASSUMPTIONS!$D$34)^27*12</f>
        <v>13973.462763702018</v>
      </c>
      <c r="Y34" s="39">
        <f>MAX((W34-X34)*(ASSUMPTIONS!$D$66+ASSUMPTIONS!$D$67),0)</f>
        <v>158144.38984546668</v>
      </c>
      <c r="Z34" s="39">
        <f>ASSUMPTIONS!$D$28*(1+ASSUMPTIONS!$D$29)^27</f>
        <v>0</v>
      </c>
      <c r="AA34" s="39">
        <f>ASSUMPTIONS!$B$70*12*(1+ASSUMPTIONS!$B$71)^29</f>
        <v>67694.32367514442</v>
      </c>
      <c r="AB34" s="39">
        <f>ASSUMPTIONS!$D$61*12</f>
        <v>6000</v>
      </c>
      <c r="AC34" s="39">
        <f t="shared" si="2"/>
        <v>306251.40505668538</v>
      </c>
      <c r="AD34" s="39">
        <f>AD33*(1+ASSUMPTIONS!$D$59)+AB34+MAX(AC34,0)*0.2</f>
        <v>4321031.4915209608</v>
      </c>
      <c r="AE34" s="39">
        <f t="shared" si="3"/>
        <v>-14648.344035370566</v>
      </c>
      <c r="AF34" s="39">
        <f t="shared" si="4"/>
        <v>-34175.49902502558</v>
      </c>
      <c r="AG34" s="39">
        <f t="shared" si="5"/>
        <v>7903.3986193910241</v>
      </c>
      <c r="AH34" s="39">
        <f t="shared" si="6"/>
        <v>340410.95108401775</v>
      </c>
    </row>
    <row r="35" spans="1:35" ht="18" customHeight="1" x14ac:dyDescent="0.2">
      <c r="A35" s="75">
        <v>30</v>
      </c>
      <c r="B35" s="76">
        <v>2056</v>
      </c>
      <c r="C35" s="75">
        <v>66</v>
      </c>
      <c r="D35" s="77" t="s">
        <v>327</v>
      </c>
      <c r="E35" s="78">
        <f>ASSUMPTIONS!$B$21*(1+ASSUMPTIONS!$B$23)^22*12+ASSUMPTIONS!$B$48*(1+ASSUMPTIONS!$B$51)^16</f>
        <v>510823.49089304707</v>
      </c>
      <c r="F35" s="78">
        <f>ASSUMPTIONS!$B$33*(1+ASSUMPTIONS!$B$34)^22*12</f>
        <v>12171.342081886616</v>
      </c>
      <c r="G35" s="78">
        <f>MAX((E35-F35)*(ASSUMPTIONS!$B$66+ASSUMPTIONS!$B$67),0)</f>
        <v>154582.16613145976</v>
      </c>
      <c r="H35" s="78">
        <f>ASSUMPTIONS!$B$26*(1+ASSUMPTIONS!$B$27)^22</f>
        <v>348.73082041266207</v>
      </c>
      <c r="I35" s="78">
        <f>ASSUMPTIONS!$B$70*12*(1+ASSUMPTIONS!$B$71)^30</f>
        <v>69725.153385398749</v>
      </c>
      <c r="J35" s="78">
        <f>ASSUMPTIONS!$B$61*12</f>
        <v>6000</v>
      </c>
      <c r="K35" s="78">
        <f t="shared" si="0"/>
        <v>292338.78263766249</v>
      </c>
      <c r="L35" s="78">
        <f>L34*(1+ASSUMPTIONS!$B$59)+J35+MAX(K35,0)*0.2</f>
        <v>5052211.1701148599</v>
      </c>
      <c r="M35" s="77" t="s">
        <v>446</v>
      </c>
      <c r="N35" s="78">
        <f>ASSUMPTIONS!$C$47*(1+ASSUMPTIONS!$B$51)^28</f>
        <v>524773.08085689717</v>
      </c>
      <c r="O35" s="78">
        <f>ASSUMPTIONS!$C$33*(1+ASSUMPTIONS!$C$34)^28*12</f>
        <v>14364.719721085678</v>
      </c>
      <c r="P35" s="78">
        <f>MAX((N35-O35)*(ASSUMPTIONS!$C$65+ASSUMPTIONS!$C$67),0)</f>
        <v>148018.42472938536</v>
      </c>
      <c r="Q35" s="78">
        <f>ASSUMPTIONS!$C$28*(1+ASSUMPTIONS!$C$29)^28</f>
        <v>25881.319159139515</v>
      </c>
      <c r="R35" s="78">
        <f>ASSUMPTIONS!$B$70*12*(1+ASSUMPTIONS!$B$71)^30</f>
        <v>69725.153385398749</v>
      </c>
      <c r="S35" s="78">
        <f>ASSUMPTIONS!$C$61*12</f>
        <v>6000</v>
      </c>
      <c r="T35" s="78">
        <f t="shared" si="1"/>
        <v>289512.90330405917</v>
      </c>
      <c r="U35" s="78">
        <f>U34*(1+ASSUMPTIONS!$C$59)+S35+MAX(T35,0)*0.2</f>
        <v>5043189.3577253902</v>
      </c>
      <c r="V35" s="77" t="s">
        <v>327</v>
      </c>
      <c r="W35" s="78">
        <f>ASSUMPTIONS!$D$48*(1+ASSUMPTIONS!$B$51)^22</f>
        <v>545081.32204613823</v>
      </c>
      <c r="X35" s="78">
        <f>ASSUMPTIONS!$D$33*(1+ASSUMPTIONS!$D$34)^28*12</f>
        <v>14364.719721085678</v>
      </c>
      <c r="Y35" s="78">
        <f>MAX((W35-X35)*(ASSUMPTIONS!$D$66+ASSUMPTIONS!$D$67),0)</f>
        <v>164522.14672076629</v>
      </c>
      <c r="Z35" s="78">
        <f>ASSUMPTIONS!$D$28*(1+ASSUMPTIONS!$D$29)^28</f>
        <v>0</v>
      </c>
      <c r="AA35" s="78">
        <f>ASSUMPTIONS!$B$70*12*(1+ASSUMPTIONS!$B$71)^30</f>
        <v>69725.153385398749</v>
      </c>
      <c r="AB35" s="78">
        <f>ASSUMPTIONS!$D$61*12</f>
        <v>6000</v>
      </c>
      <c r="AC35" s="78">
        <f t="shared" si="2"/>
        <v>319198.7416610588</v>
      </c>
      <c r="AD35" s="78">
        <f>AD34*(1+ASSUMPTIONS!$D$59)+AB35+MAX(AC35,0)*0.2</f>
        <v>4693343.4442596398</v>
      </c>
      <c r="AE35" s="78">
        <f t="shared" si="3"/>
        <v>-16142.967603049125</v>
      </c>
      <c r="AF35" s="78">
        <f t="shared" si="4"/>
        <v>-36451.208792290185</v>
      </c>
      <c r="AG35" s="78">
        <f t="shared" si="5"/>
        <v>9021.8123894697055</v>
      </c>
      <c r="AH35" s="78">
        <f t="shared" si="6"/>
        <v>358867.72585522011</v>
      </c>
      <c r="AI35" s="79" t="s">
        <v>450</v>
      </c>
    </row>
    <row r="36" spans="1:35" ht="18" customHeight="1" x14ac:dyDescent="0.2">
      <c r="A36" s="63">
        <v>31</v>
      </c>
      <c r="B36" s="64">
        <v>2057</v>
      </c>
      <c r="C36" s="63">
        <v>67</v>
      </c>
      <c r="D36" s="70" t="s">
        <v>327</v>
      </c>
      <c r="E36" s="39">
        <f>ASSUMPTIONS!$B$21*(1+ASSUMPTIONS!$B$23)^23*12+ASSUMPTIONS!$B$48*(1+ASSUMPTIONS!$B$51)^17</f>
        <v>530295.97687625943</v>
      </c>
      <c r="F36" s="39">
        <f>ASSUMPTIONS!$B$33*(1+ASSUMPTIONS!$B$34)^23*12</f>
        <v>12512.13966017944</v>
      </c>
      <c r="G36" s="39">
        <f>MAX((E36-F36)*(ASSUMPTIONS!$B$66+ASSUMPTIONS!$B$67),0)</f>
        <v>160512.98953698479</v>
      </c>
      <c r="H36" s="39">
        <f>ASSUMPTIONS!$B$26*(1+ASSUMPTIONS!$B$27)^23</f>
        <v>359.19274502504192</v>
      </c>
      <c r="I36" s="39">
        <f>ASSUMPTIONS!$B$70*12*(1+ASSUMPTIONS!$B$71)^31</f>
        <v>71816.907986960723</v>
      </c>
      <c r="J36" s="39">
        <f>ASSUMPTIONS!$B$61*12</f>
        <v>6000</v>
      </c>
      <c r="K36" s="39">
        <f t="shared" si="0"/>
        <v>304119.02626746835</v>
      </c>
      <c r="L36" s="39">
        <f>L35*(1+ASSUMPTIONS!$B$59)+J36+MAX(K36,0)*0.2</f>
        <v>5472689.7572763944</v>
      </c>
      <c r="M36" s="70" t="s">
        <v>446</v>
      </c>
      <c r="N36" s="39">
        <f>ASSUMPTIONS!$C$47*(1+ASSUMPTIONS!$B$51)^29</f>
        <v>545764.00409117306</v>
      </c>
      <c r="O36" s="39">
        <f>ASSUMPTIONS!$C$33*(1+ASSUMPTIONS!$C$34)^29*12</f>
        <v>14766.931873276077</v>
      </c>
      <c r="P36" s="39">
        <f>MAX((N36-O36)*(ASSUMPTIONS!$C$65+ASSUMPTIONS!$C$67),0)</f>
        <v>153989.15094319012</v>
      </c>
      <c r="Q36" s="39">
        <f>ASSUMPTIONS!$C$28*(1+ASSUMPTIONS!$C$29)^29</f>
        <v>27951.824691870675</v>
      </c>
      <c r="R36" s="39">
        <f>ASSUMPTIONS!$B$70*12*(1+ASSUMPTIONS!$B$71)^31</f>
        <v>71816.907986960723</v>
      </c>
      <c r="S36" s="39">
        <f>ASSUMPTIONS!$C$61*12</f>
        <v>6000</v>
      </c>
      <c r="T36" s="39">
        <f t="shared" si="1"/>
        <v>300773.05234242772</v>
      </c>
      <c r="U36" s="39">
        <f>U35*(1+ASSUMPTIONS!$C$59)+S36+MAX(T36,0)*0.2</f>
        <v>5462367.2232346535</v>
      </c>
      <c r="V36" s="70" t="s">
        <v>327</v>
      </c>
      <c r="W36" s="39">
        <f>ASSUMPTIONS!$D$48*(1+ASSUMPTIONS!$B$51)^23</f>
        <v>566884.57492798369</v>
      </c>
      <c r="X36" s="39">
        <f>ASSUMPTIONS!$D$33*(1+ASSUMPTIONS!$D$34)^29*12</f>
        <v>14766.931873276077</v>
      </c>
      <c r="Y36" s="39">
        <f>MAX((W36-X36)*(ASSUMPTIONS!$D$66+ASSUMPTIONS!$D$67),0)</f>
        <v>171156.46934695935</v>
      </c>
      <c r="Z36" s="39">
        <f>ASSUMPTIONS!$D$28*(1+ASSUMPTIONS!$D$29)^29</f>
        <v>0</v>
      </c>
      <c r="AA36" s="39">
        <f>ASSUMPTIONS!$B$70*12*(1+ASSUMPTIONS!$B$71)^31</f>
        <v>71816.907986960723</v>
      </c>
      <c r="AB36" s="39">
        <f>ASSUMPTIONS!$D$61*12</f>
        <v>6000</v>
      </c>
      <c r="AC36" s="39">
        <f t="shared" si="2"/>
        <v>332678.12946733972</v>
      </c>
      <c r="AD36" s="39">
        <f>AD35*(1+ASSUMPTIONS!$D$59)+AB36+MAX(AC36,0)*0.2</f>
        <v>5094413.1112512825</v>
      </c>
      <c r="AE36" s="39">
        <f t="shared" si="3"/>
        <v>-17722.819428010262</v>
      </c>
      <c r="AF36" s="39">
        <f t="shared" si="4"/>
        <v>-38843.39026482089</v>
      </c>
      <c r="AG36" s="39">
        <f t="shared" si="5"/>
        <v>10322.534041740932</v>
      </c>
      <c r="AH36" s="39">
        <f t="shared" si="6"/>
        <v>378276.6460251119</v>
      </c>
    </row>
    <row r="37" spans="1:35" ht="18" customHeight="1" x14ac:dyDescent="0.2">
      <c r="A37" s="63">
        <v>32</v>
      </c>
      <c r="B37" s="64">
        <v>2058</v>
      </c>
      <c r="C37" s="63">
        <v>68</v>
      </c>
      <c r="D37" s="65" t="s">
        <v>327</v>
      </c>
      <c r="E37" s="45">
        <f>ASSUMPTIONS!$B$21*(1+ASSUMPTIONS!$B$23)^24*12+ASSUMPTIONS!$B$48*(1+ASSUMPTIONS!$B$51)^18</f>
        <v>550520.46959653008</v>
      </c>
      <c r="F37" s="45">
        <f>ASSUMPTIONS!$B$33*(1+ASSUMPTIONS!$B$34)^24*12</f>
        <v>12862.479570664465</v>
      </c>
      <c r="G37" s="45">
        <f>MAX((E37-F37)*(ASSUMPTIONS!$B$66+ASSUMPTIONS!$B$67),0)</f>
        <v>166673.97690801835</v>
      </c>
      <c r="H37" s="45">
        <f>ASSUMPTIONS!$B$26*(1+ASSUMPTIONS!$B$27)^24</f>
        <v>369.96852737579314</v>
      </c>
      <c r="I37" s="45">
        <f>ASSUMPTIONS!$B$70*12*(1+ASSUMPTIONS!$B$71)^32</f>
        <v>73971.41522656953</v>
      </c>
      <c r="J37" s="45">
        <f>ASSUMPTIONS!$B$61*12</f>
        <v>6000</v>
      </c>
      <c r="K37" s="45">
        <f t="shared" ref="K37:K55" si="7">E37+F37-G37-H37-I37-J37</f>
        <v>316367.5885052309</v>
      </c>
      <c r="L37" s="45">
        <f>L36*(1+ASSUMPTIONS!$B$59)+J37+MAX(K37,0)*0.2</f>
        <v>5925051.5579867885</v>
      </c>
      <c r="M37" s="66" t="s">
        <v>446</v>
      </c>
      <c r="N37" s="40">
        <f>ASSUMPTIONS!$C$47*(1+ASSUMPTIONS!$B$51)^30</f>
        <v>567594.56425481988</v>
      </c>
      <c r="O37" s="40">
        <f>ASSUMPTIONS!$C$33*(1+ASSUMPTIONS!$C$34)^30*12</f>
        <v>15180.405965727805</v>
      </c>
      <c r="P37" s="40">
        <f>MAX((N37-O37)*(ASSUMPTIONS!$C$65+ASSUMPTIONS!$C$67),0)</f>
        <v>160200.10590383672</v>
      </c>
      <c r="Q37" s="40">
        <f>ASSUMPTIONS!$C$28*(1+ASSUMPTIONS!$C$29)^30</f>
        <v>30187.970667220336</v>
      </c>
      <c r="R37" s="40">
        <f>ASSUMPTIONS!$B$70*12*(1+ASSUMPTIONS!$B$71)^32</f>
        <v>73971.41522656953</v>
      </c>
      <c r="S37" s="40">
        <f>ASSUMPTIONS!$C$61*12</f>
        <v>6000</v>
      </c>
      <c r="T37" s="40">
        <f t="shared" ref="T37:T55" si="8">N37+O37-P37-Q37-R37-S37</f>
        <v>312415.47842292103</v>
      </c>
      <c r="U37" s="40">
        <f>U36*(1+ASSUMPTIONS!$C$59)+S37+MAX(T37,0)*0.2</f>
        <v>5913216.024545664</v>
      </c>
      <c r="V37" s="67" t="s">
        <v>327</v>
      </c>
      <c r="W37" s="68">
        <f>ASSUMPTIONS!$D$48*(1+ASSUMPTIONS!$B$51)^24</f>
        <v>589559.95792510314</v>
      </c>
      <c r="X37" s="68">
        <f>ASSUMPTIONS!$D$33*(1+ASSUMPTIONS!$D$34)^30*12</f>
        <v>15180.405965727805</v>
      </c>
      <c r="Y37" s="68">
        <f>MAX((W37-X37)*(ASSUMPTIONS!$D$66+ASSUMPTIONS!$D$67),0)</f>
        <v>178057.66110740637</v>
      </c>
      <c r="Z37" s="68">
        <f>ASSUMPTIONS!$D$28*(1+ASSUMPTIONS!$D$29)^30</f>
        <v>0</v>
      </c>
      <c r="AA37" s="68">
        <f>ASSUMPTIONS!$B$70*12*(1+ASSUMPTIONS!$B$71)^32</f>
        <v>73971.41522656953</v>
      </c>
      <c r="AB37" s="68">
        <f>ASSUMPTIONS!$D$61*12</f>
        <v>6000</v>
      </c>
      <c r="AC37" s="68">
        <f t="shared" ref="AC37:AC55" si="9">W37+X37-Y37-Z37-AA37-AB37</f>
        <v>346711.28755685501</v>
      </c>
      <c r="AD37" s="68">
        <f>AD36*(1+ASSUMPTIONS!$D$59)+AB37+MAX(AC37,0)*0.2</f>
        <v>5526364.2865502434</v>
      </c>
      <c r="AE37" s="69">
        <f t="shared" ref="AE37:AE55" si="10">(E37+F37)-(N37+O37)</f>
        <v>-19392.021053353092</v>
      </c>
      <c r="AF37" s="69">
        <f t="shared" ref="AF37:AF55" si="11">(E37+F37)-(W37+X37)</f>
        <v>-41357.41472363635</v>
      </c>
      <c r="AG37" s="69">
        <f t="shared" ref="AG37:AG55" si="12">L37-U37</f>
        <v>11835.533441124484</v>
      </c>
      <c r="AH37" s="69">
        <f t="shared" ref="AH37:AH55" si="13">L37-AD37</f>
        <v>398687.27143654507</v>
      </c>
    </row>
    <row r="38" spans="1:35" ht="18" customHeight="1" x14ac:dyDescent="0.2">
      <c r="A38" s="63">
        <v>33</v>
      </c>
      <c r="B38" s="64">
        <v>2059</v>
      </c>
      <c r="C38" s="63">
        <v>69</v>
      </c>
      <c r="D38" s="70" t="s">
        <v>327</v>
      </c>
      <c r="E38" s="39">
        <f>ASSUMPTIONS!$B$21*(1+ASSUMPTIONS!$B$23)^25*12+ASSUMPTIONS!$B$48*(1+ASSUMPTIONS!$B$51)^19</f>
        <v>571526.29632767767</v>
      </c>
      <c r="F38" s="39">
        <f>ASSUMPTIONS!$B$33*(1+ASSUMPTIONS!$B$34)^25*12</f>
        <v>13222.628998643071</v>
      </c>
      <c r="G38" s="39">
        <f>MAX((E38-F38)*(ASSUMPTIONS!$B$66+ASSUMPTIONS!$B$67),0)</f>
        <v>173074.13687200073</v>
      </c>
      <c r="H38" s="39">
        <f>ASSUMPTIONS!$B$26*(1+ASSUMPTIONS!$B$27)^25</f>
        <v>381.06758319706694</v>
      </c>
      <c r="I38" s="39">
        <f>ASSUMPTIONS!$B$70*12*(1+ASSUMPTIONS!$B$71)^33</f>
        <v>76190.557683366613</v>
      </c>
      <c r="J38" s="39">
        <f>ASSUMPTIONS!$B$61*12</f>
        <v>6000</v>
      </c>
      <c r="K38" s="39">
        <f t="shared" si="7"/>
        <v>329103.1631877562</v>
      </c>
      <c r="L38" s="39">
        <f>L37*(1+ASSUMPTIONS!$B$59)+J38+MAX(K38,0)*0.2</f>
        <v>6411625.7996834153</v>
      </c>
      <c r="M38" s="70" t="s">
        <v>446</v>
      </c>
      <c r="N38" s="39">
        <f>ASSUMPTIONS!$C$47*(1+ASSUMPTIONS!$B$51)^31</f>
        <v>590298.3468250127</v>
      </c>
      <c r="O38" s="39">
        <f>ASSUMPTIONS!$C$33*(1+ASSUMPTIONS!$C$34)^31*12</f>
        <v>15605.457332768183</v>
      </c>
      <c r="P38" s="39">
        <f>MAX((N38-O38)*(ASSUMPTIONS!$C$65+ASSUMPTIONS!$C$67),0)</f>
        <v>166660.93795275094</v>
      </c>
      <c r="Q38" s="39">
        <f>ASSUMPTIONS!$C$28*(1+ASSUMPTIONS!$C$29)^31</f>
        <v>32603.008320597964</v>
      </c>
      <c r="R38" s="39">
        <f>ASSUMPTIONS!$B$70*12*(1+ASSUMPTIONS!$B$71)^33</f>
        <v>76190.557683366613</v>
      </c>
      <c r="S38" s="39">
        <f>ASSUMPTIONS!$C$61*12</f>
        <v>6000</v>
      </c>
      <c r="T38" s="39">
        <f t="shared" si="8"/>
        <v>324449.30020106526</v>
      </c>
      <c r="U38" s="39">
        <f>U37*(1+ASSUMPTIONS!$C$59)+S38+MAX(T38,0)*0.2</f>
        <v>6398031.0063040741</v>
      </c>
      <c r="V38" s="70" t="s">
        <v>327</v>
      </c>
      <c r="W38" s="39">
        <f>ASSUMPTIONS!$D$48*(1+ASSUMPTIONS!$B$51)^25</f>
        <v>613142.35624210734</v>
      </c>
      <c r="X38" s="39">
        <f>ASSUMPTIONS!$D$33*(1+ASSUMPTIONS!$D$34)^31*12</f>
        <v>15605.457332768183</v>
      </c>
      <c r="Y38" s="39">
        <f>MAX((W38-X38)*(ASSUMPTIONS!$D$66+ASSUMPTIONS!$D$67),0)</f>
        <v>185236.43866189517</v>
      </c>
      <c r="Z38" s="39">
        <f>ASSUMPTIONS!$D$28*(1+ASSUMPTIONS!$D$29)^31</f>
        <v>0</v>
      </c>
      <c r="AA38" s="39">
        <f>ASSUMPTIONS!$B$70*12*(1+ASSUMPTIONS!$B$71)^33</f>
        <v>76190.557683366613</v>
      </c>
      <c r="AB38" s="39">
        <f>ASSUMPTIONS!$D$61*12</f>
        <v>6000</v>
      </c>
      <c r="AC38" s="39">
        <f t="shared" si="9"/>
        <v>361320.81722961366</v>
      </c>
      <c r="AD38" s="39">
        <f>AD37*(1+ASSUMPTIONS!$D$59)+AB38+MAX(AC38,0)*0.2</f>
        <v>5991473.9500546837</v>
      </c>
      <c r="AE38" s="39">
        <f t="shared" si="10"/>
        <v>-21154.878831460141</v>
      </c>
      <c r="AF38" s="39">
        <f t="shared" si="11"/>
        <v>-43998.88824855478</v>
      </c>
      <c r="AG38" s="39">
        <f t="shared" si="12"/>
        <v>13594.793379341252</v>
      </c>
      <c r="AH38" s="39">
        <f t="shared" si="13"/>
        <v>420151.84962873161</v>
      </c>
    </row>
    <row r="39" spans="1:35" ht="18" customHeight="1" x14ac:dyDescent="0.2">
      <c r="A39" s="63">
        <v>34</v>
      </c>
      <c r="B39" s="64">
        <v>2060</v>
      </c>
      <c r="C39" s="63">
        <v>70</v>
      </c>
      <c r="D39" s="65" t="s">
        <v>327</v>
      </c>
      <c r="E39" s="45">
        <f>ASSUMPTIONS!$B$21*(1+ASSUMPTIONS!$B$23)^26*12+ASSUMPTIONS!$B$48*(1+ASSUMPTIONS!$B$51)^20</f>
        <v>593343.93635059521</v>
      </c>
      <c r="F39" s="45">
        <f>ASSUMPTIONS!$B$33*(1+ASSUMPTIONS!$B$34)^26*12</f>
        <v>13592.862610605076</v>
      </c>
      <c r="G39" s="45">
        <f>MAX((E39-F39)*(ASSUMPTIONS!$B$66+ASSUMPTIONS!$B$67),0)</f>
        <v>179722.83285939693</v>
      </c>
      <c r="H39" s="45">
        <f>ASSUMPTIONS!$B$26*(1+ASSUMPTIONS!$B$27)^26</f>
        <v>392.49961069297899</v>
      </c>
      <c r="I39" s="45">
        <f>ASSUMPTIONS!$B$70*12*(1+ASSUMPTIONS!$B$71)^34</f>
        <v>78476.274413867606</v>
      </c>
      <c r="J39" s="45">
        <f>ASSUMPTIONS!$B$61*12</f>
        <v>6000</v>
      </c>
      <c r="K39" s="45">
        <f t="shared" si="7"/>
        <v>342345.19207724277</v>
      </c>
      <c r="L39" s="45">
        <f>L38*(1+ASSUMPTIONS!$B$59)+J39+MAX(K39,0)*0.2</f>
        <v>6934908.6440767031</v>
      </c>
      <c r="M39" s="66" t="s">
        <v>446</v>
      </c>
      <c r="N39" s="40">
        <f>ASSUMPTIONS!$C$47*(1+ASSUMPTIONS!$B$51)^32</f>
        <v>613910.28069801326</v>
      </c>
      <c r="O39" s="40">
        <f>ASSUMPTIONS!$C$33*(1+ASSUMPTIONS!$C$34)^32*12</f>
        <v>16042.410138085692</v>
      </c>
      <c r="P39" s="40">
        <f>MAX((N39-O39)*(ASSUMPTIONS!$C$65+ASSUMPTIONS!$C$67),0)</f>
        <v>173381.68246237902</v>
      </c>
      <c r="Q39" s="40">
        <f>ASSUMPTIONS!$C$28*(1+ASSUMPTIONS!$C$29)^32</f>
        <v>35211.248986245802</v>
      </c>
      <c r="R39" s="40">
        <f>ASSUMPTIONS!$B$70*12*(1+ASSUMPTIONS!$B$71)^34</f>
        <v>78476.274413867606</v>
      </c>
      <c r="S39" s="40">
        <f>ASSUMPTIONS!$C$61*12</f>
        <v>6000</v>
      </c>
      <c r="T39" s="40">
        <f t="shared" si="8"/>
        <v>336883.48497360654</v>
      </c>
      <c r="U39" s="40">
        <f>U38*(1+ASSUMPTIONS!$C$59)+S39+MAX(T39,0)*0.2</f>
        <v>6919269.8737400807</v>
      </c>
      <c r="V39" s="67" t="s">
        <v>327</v>
      </c>
      <c r="W39" s="68">
        <f>ASSUMPTIONS!$D$48*(1+ASSUMPTIONS!$B$51)^26</f>
        <v>637668.05049179157</v>
      </c>
      <c r="X39" s="68">
        <f>ASSUMPTIONS!$D$33*(1+ASSUMPTIONS!$D$34)^32*12</f>
        <v>16042.410138085692</v>
      </c>
      <c r="Y39" s="68">
        <f>MAX((W39-X39)*(ASSUMPTIONS!$D$66+ASSUMPTIONS!$D$67),0)</f>
        <v>192703.94850964882</v>
      </c>
      <c r="Z39" s="68">
        <f>ASSUMPTIONS!$D$28*(1+ASSUMPTIONS!$D$29)^32</f>
        <v>0</v>
      </c>
      <c r="AA39" s="68">
        <f>ASSUMPTIONS!$B$70*12*(1+ASSUMPTIONS!$B$71)^34</f>
        <v>78476.274413867606</v>
      </c>
      <c r="AB39" s="68">
        <f>ASSUMPTIONS!$D$61*12</f>
        <v>6000</v>
      </c>
      <c r="AC39" s="68">
        <f t="shared" si="9"/>
        <v>376530.23770636087</v>
      </c>
      <c r="AD39" s="68">
        <f>AD38*(1+ASSUMPTIONS!$D$59)+AB39+MAX(AC39,0)*0.2</f>
        <v>6492183.1740997834</v>
      </c>
      <c r="AE39" s="69">
        <f t="shared" si="10"/>
        <v>-23015.891874898691</v>
      </c>
      <c r="AF39" s="69">
        <f t="shared" si="11"/>
        <v>-46773.661668676999</v>
      </c>
      <c r="AG39" s="69">
        <f t="shared" si="12"/>
        <v>15638.770336622372</v>
      </c>
      <c r="AH39" s="69">
        <f t="shared" si="13"/>
        <v>442725.4699769197</v>
      </c>
    </row>
    <row r="40" spans="1:35" ht="18" customHeight="1" x14ac:dyDescent="0.2">
      <c r="A40" s="63">
        <v>35</v>
      </c>
      <c r="B40" s="64">
        <v>2061</v>
      </c>
      <c r="C40" s="63">
        <v>71</v>
      </c>
      <c r="D40" s="70" t="s">
        <v>327</v>
      </c>
      <c r="E40" s="39">
        <f>ASSUMPTIONS!$B$21*(1+ASSUMPTIONS!$B$23)^27*12+ASSUMPTIONS!$B$48*(1+ASSUMPTIONS!$B$51)^21</f>
        <v>616005.06644318427</v>
      </c>
      <c r="F40" s="39">
        <f>ASSUMPTIONS!$B$33*(1+ASSUMPTIONS!$B$34)^27*12</f>
        <v>13973.462763702018</v>
      </c>
      <c r="G40" s="39">
        <f>MAX((E40-F40)*(ASSUMPTIONS!$B$66+ASSUMPTIONS!$B$67),0)</f>
        <v>186629.79714063951</v>
      </c>
      <c r="H40" s="39">
        <f>ASSUMPTIONS!$B$26*(1+ASSUMPTIONS!$B$27)^27</f>
        <v>404.2745990137683</v>
      </c>
      <c r="I40" s="39">
        <f>ASSUMPTIONS!$B$70*12*(1+ASSUMPTIONS!$B$71)^35</f>
        <v>80830.562646283652</v>
      </c>
      <c r="J40" s="39">
        <f>ASSUMPTIONS!$B$61*12</f>
        <v>6000</v>
      </c>
      <c r="K40" s="39">
        <f t="shared" si="7"/>
        <v>356113.89482094935</v>
      </c>
      <c r="L40" s="39">
        <f>L39*(1+ASSUMPTIONS!$B$59)+J40+MAX(K40,0)*0.2</f>
        <v>7497575.0281262621</v>
      </c>
      <c r="M40" s="70" t="s">
        <v>446</v>
      </c>
      <c r="N40" s="39">
        <f>ASSUMPTIONS!$C$47*(1+ASSUMPTIONS!$B$51)^33</f>
        <v>638466.69192593382</v>
      </c>
      <c r="O40" s="39">
        <f>ASSUMPTIONS!$C$33*(1+ASSUMPTIONS!$C$34)^33*12</f>
        <v>16491.597621952089</v>
      </c>
      <c r="P40" s="39">
        <f>MAX((N40-O40)*(ASSUMPTIONS!$C$65+ASSUMPTIONS!$C$67),0)</f>
        <v>180372.77734815472</v>
      </c>
      <c r="Q40" s="39">
        <f>ASSUMPTIONS!$C$28*(1+ASSUMPTIONS!$C$29)^33</f>
        <v>38028.14890514547</v>
      </c>
      <c r="R40" s="39">
        <f>ASSUMPTIONS!$B$70*12*(1+ASSUMPTIONS!$B$71)^35</f>
        <v>80830.562646283652</v>
      </c>
      <c r="S40" s="39">
        <f>ASSUMPTIONS!$C$61*12</f>
        <v>6000</v>
      </c>
      <c r="T40" s="39">
        <f t="shared" si="8"/>
        <v>349726.80064830207</v>
      </c>
      <c r="U40" s="39">
        <f>U39*(1+ASSUMPTIONS!$C$59)+S40+MAX(T40,0)*0.2</f>
        <v>7479564.1250315467</v>
      </c>
      <c r="V40" s="70" t="s">
        <v>327</v>
      </c>
      <c r="W40" s="39">
        <f>ASSUMPTIONS!$D$48*(1+ASSUMPTIONS!$B$51)^27</f>
        <v>663174.77251146326</v>
      </c>
      <c r="X40" s="39">
        <f>ASSUMPTIONS!$D$33*(1+ASSUMPTIONS!$D$34)^33*12</f>
        <v>16491.597621952089</v>
      </c>
      <c r="Y40" s="39">
        <f>MAX((W40-X40)*(ASSUMPTIONS!$D$66+ASSUMPTIONS!$D$67),0)</f>
        <v>200471.78421574846</v>
      </c>
      <c r="Z40" s="39">
        <f>ASSUMPTIONS!$D$28*(1+ASSUMPTIONS!$D$29)^33</f>
        <v>0</v>
      </c>
      <c r="AA40" s="39">
        <f>ASSUMPTIONS!$B$70*12*(1+ASSUMPTIONS!$B$71)^35</f>
        <v>80830.562646283652</v>
      </c>
      <c r="AB40" s="39">
        <f>ASSUMPTIONS!$D$61*12</f>
        <v>6000</v>
      </c>
      <c r="AC40" s="39">
        <f t="shared" si="9"/>
        <v>392364.02327138325</v>
      </c>
      <c r="AD40" s="39">
        <f>AD39*(1+ASSUMPTIONS!$D$59)+AB40+MAX(AC40,0)*0.2</f>
        <v>7031108.8009410454</v>
      </c>
      <c r="AE40" s="39">
        <f t="shared" si="10"/>
        <v>-24979.760340999579</v>
      </c>
      <c r="AF40" s="39">
        <f t="shared" si="11"/>
        <v>-49687.840926529025</v>
      </c>
      <c r="AG40" s="39">
        <f t="shared" si="12"/>
        <v>18010.903094715439</v>
      </c>
      <c r="AH40" s="39">
        <f t="shared" si="13"/>
        <v>466466.22718521673</v>
      </c>
    </row>
    <row r="41" spans="1:35" ht="18" customHeight="1" x14ac:dyDescent="0.2">
      <c r="A41" s="63">
        <v>36</v>
      </c>
      <c r="B41" s="64">
        <v>2062</v>
      </c>
      <c r="C41" s="63">
        <v>72</v>
      </c>
      <c r="D41" s="65" t="s">
        <v>327</v>
      </c>
      <c r="E41" s="45">
        <f>ASSUMPTIONS!$B$21*(1+ASSUMPTIONS!$B$23)^28*12+ASSUMPTIONS!$B$48*(1+ASSUMPTIONS!$B$51)^22</f>
        <v>639542.60817335651</v>
      </c>
      <c r="F41" s="45">
        <f>ASSUMPTIONS!$B$33*(1+ASSUMPTIONS!$B$34)^28*12</f>
        <v>14364.719721085678</v>
      </c>
      <c r="G41" s="45">
        <f>MAX((E41-F41)*(ASSUMPTIONS!$B$66+ASSUMPTIONS!$B$67),0)</f>
        <v>193805.14542020397</v>
      </c>
      <c r="H41" s="45">
        <f>ASSUMPTIONS!$B$26*(1+ASSUMPTIONS!$B$27)^28</f>
        <v>416.40283698418136</v>
      </c>
      <c r="I41" s="45">
        <f>ASSUMPTIONS!$B$70*12*(1+ASSUMPTIONS!$B$71)^36</f>
        <v>83255.479525672155</v>
      </c>
      <c r="J41" s="45">
        <f>ASSUMPTIONS!$B$61*12</f>
        <v>6000</v>
      </c>
      <c r="K41" s="45">
        <f t="shared" si="7"/>
        <v>370430.3001115818</v>
      </c>
      <c r="L41" s="45">
        <f>L40*(1+ASSUMPTIONS!$B$59)+J41+MAX(K41,0)*0.2</f>
        <v>8102491.3401174173</v>
      </c>
      <c r="M41" s="66" t="s">
        <v>446</v>
      </c>
      <c r="N41" s="40">
        <f>ASSUMPTIONS!$C$47*(1+ASSUMPTIONS!$B$51)^34</f>
        <v>664005.35960297124</v>
      </c>
      <c r="O41" s="40">
        <f>ASSUMPTIONS!$C$33*(1+ASSUMPTIONS!$C$34)^34*12</f>
        <v>16953.362355366749</v>
      </c>
      <c r="P41" s="40">
        <f>MAX((N41-O41)*(ASSUMPTIONS!$C$65+ASSUMPTIONS!$C$67),0)</f>
        <v>187645.07920180535</v>
      </c>
      <c r="Q41" s="40">
        <f>ASSUMPTIONS!$C$28*(1+ASSUMPTIONS!$C$29)^34</f>
        <v>41070.400817557107</v>
      </c>
      <c r="R41" s="40">
        <f>ASSUMPTIONS!$B$70*12*(1+ASSUMPTIONS!$B$71)^36</f>
        <v>83255.479525672155</v>
      </c>
      <c r="S41" s="40">
        <f>ASSUMPTIONS!$C$61*12</f>
        <v>6000</v>
      </c>
      <c r="T41" s="40">
        <f t="shared" si="8"/>
        <v>362987.76241330331</v>
      </c>
      <c r="U41" s="40">
        <f>U40*(1+ASSUMPTIONS!$C$59)+S41+MAX(T41,0)*0.2</f>
        <v>8081731.1662664162</v>
      </c>
      <c r="V41" s="67" t="s">
        <v>327</v>
      </c>
      <c r="W41" s="68">
        <f>ASSUMPTIONS!$D$48*(1+ASSUMPTIONS!$B$51)^28</f>
        <v>689701.76341192191</v>
      </c>
      <c r="X41" s="68">
        <f>ASSUMPTIONS!$D$33*(1+ASSUMPTIONS!$D$34)^34*12</f>
        <v>16953.362355366749</v>
      </c>
      <c r="Y41" s="68">
        <f>MAX((W41-X41)*(ASSUMPTIONS!$D$66+ASSUMPTIONS!$D$67),0)</f>
        <v>208552.00432753211</v>
      </c>
      <c r="Z41" s="68">
        <f>ASSUMPTIONS!$D$28*(1+ASSUMPTIONS!$D$29)^34</f>
        <v>0</v>
      </c>
      <c r="AA41" s="68">
        <f>ASSUMPTIONS!$B$70*12*(1+ASSUMPTIONS!$B$71)^36</f>
        <v>83255.479525672155</v>
      </c>
      <c r="AB41" s="68">
        <f>ASSUMPTIONS!$D$61*12</f>
        <v>6000</v>
      </c>
      <c r="AC41" s="68">
        <f t="shared" si="9"/>
        <v>408847.64191408432</v>
      </c>
      <c r="AD41" s="68">
        <f>AD40*(1+ASSUMPTIONS!$D$59)+AB41+MAX(AC41,0)*0.2</f>
        <v>7611055.9453897364</v>
      </c>
      <c r="AE41" s="69">
        <f t="shared" si="10"/>
        <v>-27051.394063895801</v>
      </c>
      <c r="AF41" s="69">
        <f t="shared" si="11"/>
        <v>-52747.79787284648</v>
      </c>
      <c r="AG41" s="69">
        <f t="shared" si="12"/>
        <v>20760.173851001076</v>
      </c>
      <c r="AH41" s="69">
        <f t="shared" si="13"/>
        <v>491435.39472768083</v>
      </c>
    </row>
    <row r="42" spans="1:35" ht="18" customHeight="1" x14ac:dyDescent="0.2">
      <c r="A42" s="63">
        <v>37</v>
      </c>
      <c r="B42" s="64">
        <v>2063</v>
      </c>
      <c r="C42" s="63">
        <v>73</v>
      </c>
      <c r="D42" s="70" t="s">
        <v>327</v>
      </c>
      <c r="E42" s="39">
        <f>ASSUMPTIONS!$B$21*(1+ASSUMPTIONS!$B$23)^29*12+ASSUMPTIONS!$B$48*(1+ASSUMPTIONS!$B$51)^23</f>
        <v>663990.77706676407</v>
      </c>
      <c r="F42" s="39">
        <f>ASSUMPTIONS!$B$33*(1+ASSUMPTIONS!$B$34)^29*12</f>
        <v>14766.931873276077</v>
      </c>
      <c r="G42" s="39">
        <f>MAX((E42-F42)*(ASSUMPTIONS!$B$66+ASSUMPTIONS!$B$67),0)</f>
        <v>201259.39200998127</v>
      </c>
      <c r="H42" s="39">
        <f>ASSUMPTIONS!$B$26*(1+ASSUMPTIONS!$B$27)^29</f>
        <v>428.89492209370673</v>
      </c>
      <c r="I42" s="39">
        <f>ASSUMPTIONS!$B$70*12*(1+ASSUMPTIONS!$B$71)^37</f>
        <v>85753.143911442297</v>
      </c>
      <c r="J42" s="39">
        <f>ASSUMPTIONS!$B$61*12</f>
        <v>6000</v>
      </c>
      <c r="K42" s="39">
        <f t="shared" si="7"/>
        <v>385316.2780965229</v>
      </c>
      <c r="L42" s="39">
        <f>L41*(1+ASSUMPTIONS!$B$59)+J42+MAX(K42,0)*0.2</f>
        <v>8752728.9895449411</v>
      </c>
      <c r="M42" s="70" t="s">
        <v>446</v>
      </c>
      <c r="N42" s="39">
        <f>ASSUMPTIONS!$C$47*(1+ASSUMPTIONS!$B$51)^35</f>
        <v>690565.57398709015</v>
      </c>
      <c r="O42" s="39">
        <f>ASSUMPTIONS!$C$33*(1+ASSUMPTIONS!$C$34)^35*12</f>
        <v>17428.056501317016</v>
      </c>
      <c r="P42" s="39">
        <f>MAX((N42-O42)*(ASSUMPTIONS!$C$65+ASSUMPTIONS!$C$67),0)</f>
        <v>195209.88007087421</v>
      </c>
      <c r="Q42" s="39">
        <f>ASSUMPTIONS!$C$28*(1+ASSUMPTIONS!$C$29)^35</f>
        <v>44356.032882961677</v>
      </c>
      <c r="R42" s="39">
        <f>ASSUMPTIONS!$B$70*12*(1+ASSUMPTIONS!$B$71)^37</f>
        <v>85753.143911442297</v>
      </c>
      <c r="S42" s="39">
        <f>ASSUMPTIONS!$C$61*12</f>
        <v>6000</v>
      </c>
      <c r="T42" s="39">
        <f t="shared" si="8"/>
        <v>376674.57362312899</v>
      </c>
      <c r="U42" s="39">
        <f>U41*(1+ASSUMPTIONS!$C$59)+S42+MAX(T42,0)*0.2</f>
        <v>8728787.2626296915</v>
      </c>
      <c r="V42" s="70" t="s">
        <v>327</v>
      </c>
      <c r="W42" s="39">
        <f>ASSUMPTIONS!$D$48*(1+ASSUMPTIONS!$B$51)^29</f>
        <v>717289.83394839882</v>
      </c>
      <c r="X42" s="39">
        <f>ASSUMPTIONS!$D$33*(1+ASSUMPTIONS!$D$34)^35*12</f>
        <v>17428.056501317016</v>
      </c>
      <c r="Y42" s="39">
        <f>MAX((W42-X42)*(ASSUMPTIONS!$D$66+ASSUMPTIONS!$D$67),0)</f>
        <v>216957.15100859533</v>
      </c>
      <c r="Z42" s="39">
        <f>ASSUMPTIONS!$D$28*(1+ASSUMPTIONS!$D$29)^35</f>
        <v>0</v>
      </c>
      <c r="AA42" s="39">
        <f>ASSUMPTIONS!$B$70*12*(1+ASSUMPTIONS!$B$71)^37</f>
        <v>85753.143911442297</v>
      </c>
      <c r="AB42" s="39">
        <f>ASSUMPTIONS!$D$61*12</f>
        <v>6000</v>
      </c>
      <c r="AC42" s="39">
        <f t="shared" si="9"/>
        <v>426007.59552967822</v>
      </c>
      <c r="AD42" s="39">
        <f>AD41*(1+ASSUMPTIONS!$D$59)+AB42+MAX(AC42,0)*0.2</f>
        <v>8235031.380672954</v>
      </c>
      <c r="AE42" s="39">
        <f t="shared" si="10"/>
        <v>-29235.921548367012</v>
      </c>
      <c r="AF42" s="39">
        <f t="shared" si="11"/>
        <v>-55960.181509675691</v>
      </c>
      <c r="AG42" s="39">
        <f t="shared" si="12"/>
        <v>23941.726915249601</v>
      </c>
      <c r="AH42" s="39">
        <f t="shared" si="13"/>
        <v>517697.60887198709</v>
      </c>
    </row>
    <row r="43" spans="1:35" ht="18" customHeight="1" x14ac:dyDescent="0.2">
      <c r="A43" s="63">
        <v>38</v>
      </c>
      <c r="B43" s="64">
        <v>2064</v>
      </c>
      <c r="C43" s="63">
        <v>74</v>
      </c>
      <c r="D43" s="65" t="s">
        <v>327</v>
      </c>
      <c r="E43" s="45">
        <f>ASSUMPTIONS!$B$21*(1+ASSUMPTIONS!$B$23)^30*12+ASSUMPTIONS!$B$48*(1+ASSUMPTIONS!$B$51)^24</f>
        <v>689385.13372376934</v>
      </c>
      <c r="F43" s="45">
        <f>ASSUMPTIONS!$B$33*(1+ASSUMPTIONS!$B$34)^30*12</f>
        <v>15180.405965727805</v>
      </c>
      <c r="G43" s="45">
        <f>MAX((E43-F43)*(ASSUMPTIONS!$B$66+ASSUMPTIONS!$B$67),0)</f>
        <v>209003.4656049929</v>
      </c>
      <c r="H43" s="45">
        <f>ASSUMPTIONS!$B$26*(1+ASSUMPTIONS!$B$27)^30</f>
        <v>441.76176975651794</v>
      </c>
      <c r="I43" s="45">
        <f>ASSUMPTIONS!$B$70*12*(1+ASSUMPTIONS!$B$71)^38</f>
        <v>88325.738228785573</v>
      </c>
      <c r="J43" s="45">
        <f>ASSUMPTIONS!$B$61*12</f>
        <v>6000</v>
      </c>
      <c r="K43" s="45">
        <f t="shared" si="7"/>
        <v>400794.57408596209</v>
      </c>
      <c r="L43" s="45">
        <f>L42*(1+ASSUMPTIONS!$B$59)+J43+MAX(K43,0)*0.2</f>
        <v>9451578.9336302783</v>
      </c>
      <c r="M43" s="66" t="s">
        <v>446</v>
      </c>
      <c r="N43" s="40">
        <f>ASSUMPTIONS!$C$47*(1+ASSUMPTIONS!$B$51)^36</f>
        <v>718188.19694657368</v>
      </c>
      <c r="O43" s="40">
        <f>ASSUMPTIONS!$C$33*(1+ASSUMPTIONS!$C$34)^36*12</f>
        <v>17916.042083353896</v>
      </c>
      <c r="P43" s="40">
        <f>MAX((N43-O43)*(ASSUMPTIONS!$C$65+ASSUMPTIONS!$C$67),0)</f>
        <v>203078.92491033376</v>
      </c>
      <c r="Q43" s="40">
        <f>ASSUMPTIONS!$C$28*(1+ASSUMPTIONS!$C$29)^36</f>
        <v>47904.515513598621</v>
      </c>
      <c r="R43" s="40">
        <f>ASSUMPTIONS!$B$70*12*(1+ASSUMPTIONS!$B$71)^38</f>
        <v>88325.738228785573</v>
      </c>
      <c r="S43" s="40">
        <f>ASSUMPTIONS!$C$61*12</f>
        <v>6000</v>
      </c>
      <c r="T43" s="40">
        <f t="shared" si="8"/>
        <v>390795.06037720951</v>
      </c>
      <c r="U43" s="40">
        <f>U42*(1+ASSUMPTIONS!$C$59)+S43+MAX(T43,0)*0.2</f>
        <v>9423961.3830892127</v>
      </c>
      <c r="V43" s="67" t="s">
        <v>327</v>
      </c>
      <c r="W43" s="68">
        <f>ASSUMPTIONS!$D$48*(1+ASSUMPTIONS!$B$51)^30</f>
        <v>745981.42730633472</v>
      </c>
      <c r="X43" s="68">
        <f>ASSUMPTIONS!$D$33*(1+ASSUMPTIONS!$D$34)^36*12</f>
        <v>17916.042083353896</v>
      </c>
      <c r="Y43" s="68">
        <f>MAX((W43-X43)*(ASSUMPTIONS!$D$66+ASSUMPTIONS!$D$67),0)</f>
        <v>225700.26941912406</v>
      </c>
      <c r="Z43" s="68">
        <f>ASSUMPTIONS!$D$28*(1+ASSUMPTIONS!$D$29)^36</f>
        <v>0</v>
      </c>
      <c r="AA43" s="68">
        <f>ASSUMPTIONS!$B$70*12*(1+ASSUMPTIONS!$B$71)^38</f>
        <v>88325.738228785573</v>
      </c>
      <c r="AB43" s="68">
        <f>ASSUMPTIONS!$D$61*12</f>
        <v>6000</v>
      </c>
      <c r="AC43" s="68">
        <f t="shared" si="9"/>
        <v>443871.461741779</v>
      </c>
      <c r="AD43" s="68">
        <f>AD42*(1+ASSUMPTIONS!$D$59)+AB43+MAX(AC43,0)*0.2</f>
        <v>8906257.8696684167</v>
      </c>
      <c r="AE43" s="69">
        <f t="shared" si="10"/>
        <v>-31538.699340430438</v>
      </c>
      <c r="AF43" s="69">
        <f t="shared" si="11"/>
        <v>-59331.929700191482</v>
      </c>
      <c r="AG43" s="69">
        <f t="shared" si="12"/>
        <v>27617.550541065633</v>
      </c>
      <c r="AH43" s="69">
        <f t="shared" si="13"/>
        <v>545321.06396186166</v>
      </c>
    </row>
    <row r="44" spans="1:35" ht="18" customHeight="1" x14ac:dyDescent="0.2">
      <c r="A44" s="63">
        <v>39</v>
      </c>
      <c r="B44" s="64">
        <v>2065</v>
      </c>
      <c r="C44" s="63">
        <v>75</v>
      </c>
      <c r="D44" s="70" t="s">
        <v>327</v>
      </c>
      <c r="E44" s="39">
        <f>ASSUMPTIONS!$B$21*(1+ASSUMPTIONS!$B$23)^31*12+ASSUMPTIONS!$B$48*(1+ASSUMPTIONS!$B$51)^25</f>
        <v>715762.63696313614</v>
      </c>
      <c r="F44" s="39">
        <f>ASSUMPTIONS!$B$33*(1+ASSUMPTIONS!$B$34)^31*12</f>
        <v>15605.457332768183</v>
      </c>
      <c r="G44" s="39">
        <f>MAX((E44-F44)*(ASSUMPTIONS!$B$66+ASSUMPTIONS!$B$67),0)</f>
        <v>217048.72568541407</v>
      </c>
      <c r="H44" s="39">
        <f>ASSUMPTIONS!$B$26*(1+ASSUMPTIONS!$B$27)^31</f>
        <v>455.01462284921359</v>
      </c>
      <c r="I44" s="39">
        <f>ASSUMPTIONS!$B$70*12*(1+ASSUMPTIONS!$B$71)^39</f>
        <v>90975.510375649159</v>
      </c>
      <c r="J44" s="39">
        <f>ASSUMPTIONS!$B$61*12</f>
        <v>6000</v>
      </c>
      <c r="K44" s="39">
        <f t="shared" si="7"/>
        <v>416888.84361199185</v>
      </c>
      <c r="L44" s="39">
        <f>L43*(1+ASSUMPTIONS!$B$59)+J44+MAX(K44,0)*0.2</f>
        <v>10202567.227706797</v>
      </c>
      <c r="M44" s="70" t="s">
        <v>446</v>
      </c>
      <c r="N44" s="39">
        <f>ASSUMPTIONS!$C$47*(1+ASSUMPTIONS!$B$51)^37</f>
        <v>746915.72482443682</v>
      </c>
      <c r="O44" s="39">
        <f>ASSUMPTIONS!$C$33*(1+ASSUMPTIONS!$C$34)^37*12</f>
        <v>18417.691261687803</v>
      </c>
      <c r="P44" s="39">
        <f>MAX((N44-O44)*(ASSUMPTIONS!$C$65+ASSUMPTIONS!$C$67),0)</f>
        <v>211264.42973319723</v>
      </c>
      <c r="Q44" s="39">
        <f>ASSUMPTIONS!$C$28*(1+ASSUMPTIONS!$C$29)^37</f>
        <v>51736.876754686513</v>
      </c>
      <c r="R44" s="39">
        <f>ASSUMPTIONS!$B$70*12*(1+ASSUMPTIONS!$B$71)^39</f>
        <v>90975.510375649159</v>
      </c>
      <c r="S44" s="39">
        <f>ASSUMPTIONS!$C$61*12</f>
        <v>6000</v>
      </c>
      <c r="T44" s="39">
        <f t="shared" si="8"/>
        <v>405356.59922259173</v>
      </c>
      <c r="U44" s="39">
        <f>U43*(1+ASSUMPTIONS!$C$59)+S44+MAX(T44,0)*0.2</f>
        <v>10170709.999749975</v>
      </c>
      <c r="V44" s="70" t="s">
        <v>327</v>
      </c>
      <c r="W44" s="39">
        <f>ASSUMPTIONS!$D$48*(1+ASSUMPTIONS!$B$51)^31</f>
        <v>775820.68439858814</v>
      </c>
      <c r="X44" s="39">
        <f>ASSUMPTIONS!$D$33*(1+ASSUMPTIONS!$D$34)^37*12</f>
        <v>18417.691261687803</v>
      </c>
      <c r="Y44" s="39">
        <f>MAX((W44-X44)*(ASSUMPTIONS!$D$66+ASSUMPTIONS!$D$67),0)</f>
        <v>234794.92787243912</v>
      </c>
      <c r="Z44" s="39">
        <f>ASSUMPTIONS!$D$28*(1+ASSUMPTIONS!$D$29)^37</f>
        <v>0</v>
      </c>
      <c r="AA44" s="39">
        <f>ASSUMPTIONS!$B$70*12*(1+ASSUMPTIONS!$B$71)^39</f>
        <v>90975.510375649159</v>
      </c>
      <c r="AB44" s="39">
        <f>ASSUMPTIONS!$D$61*12</f>
        <v>6000</v>
      </c>
      <c r="AC44" s="39">
        <f t="shared" si="9"/>
        <v>462467.93741218763</v>
      </c>
      <c r="AD44" s="39">
        <f>AD43*(1+ASSUMPTIONS!$D$59)+AB44+MAX(AC44,0)*0.2</f>
        <v>9628189.508027643</v>
      </c>
      <c r="AE44" s="39">
        <f t="shared" si="10"/>
        <v>-33965.321790220332</v>
      </c>
      <c r="AF44" s="39">
        <f t="shared" si="11"/>
        <v>-62870.281364371651</v>
      </c>
      <c r="AG44" s="39">
        <f t="shared" si="12"/>
        <v>31857.227956822142</v>
      </c>
      <c r="AH44" s="39">
        <f t="shared" si="13"/>
        <v>574377.71967915446</v>
      </c>
    </row>
    <row r="45" spans="1:35" ht="18" customHeight="1" x14ac:dyDescent="0.2">
      <c r="A45" s="75">
        <v>40</v>
      </c>
      <c r="B45" s="76">
        <v>2066</v>
      </c>
      <c r="C45" s="75">
        <v>76</v>
      </c>
      <c r="D45" s="77" t="s">
        <v>327</v>
      </c>
      <c r="E45" s="78">
        <f>ASSUMPTIONS!$B$21*(1+ASSUMPTIONS!$B$23)^32*12+ASSUMPTIONS!$B$48*(1+ASSUMPTIONS!$B$51)^26</f>
        <v>743161.69907300919</v>
      </c>
      <c r="F45" s="78">
        <f>ASSUMPTIONS!$B$33*(1+ASSUMPTIONS!$B$34)^32*12</f>
        <v>16042.410138085692</v>
      </c>
      <c r="G45" s="78">
        <f>MAX((E45-F45)*(ASSUMPTIONS!$B$66+ASSUMPTIONS!$B$67),0)</f>
        <v>225406.97956982628</v>
      </c>
      <c r="H45" s="78">
        <f>ASSUMPTIONS!$B$26*(1+ASSUMPTIONS!$B$27)^32</f>
        <v>468.66506153468987</v>
      </c>
      <c r="I45" s="78">
        <f>ASSUMPTIONS!$B$70*12*(1+ASSUMPTIONS!$B$71)^40</f>
        <v>93704.775686918612</v>
      </c>
      <c r="J45" s="78">
        <f>ASSUMPTIONS!$B$61*12</f>
        <v>6000</v>
      </c>
      <c r="K45" s="78">
        <f t="shared" si="7"/>
        <v>433623.68889281526</v>
      </c>
      <c r="L45" s="78">
        <f>L44*(1+ASSUMPTIONS!$B$59)+J45+MAX(K45,0)*0.2</f>
        <v>11009471.671424838</v>
      </c>
      <c r="M45" s="77" t="s">
        <v>446</v>
      </c>
      <c r="N45" s="78">
        <f>ASSUMPTIONS!$C$47*(1+ASSUMPTIONS!$B$51)^38</f>
        <v>776792.35381741414</v>
      </c>
      <c r="O45" s="78">
        <f>ASSUMPTIONS!$C$33*(1+ASSUMPTIONS!$C$34)^38*12</f>
        <v>18933.386617015061</v>
      </c>
      <c r="P45" s="78">
        <f>MAX((N45-O45)*(ASSUMPTIONS!$C$65+ASSUMPTIONS!$C$67),0)</f>
        <v>219779.10048811574</v>
      </c>
      <c r="Q45" s="78">
        <f>ASSUMPTIONS!$C$28*(1+ASSUMPTIONS!$C$29)^38</f>
        <v>55875.826895061437</v>
      </c>
      <c r="R45" s="78">
        <f>ASSUMPTIONS!$B$70*12*(1+ASSUMPTIONS!$B$71)^40</f>
        <v>93704.775686918612</v>
      </c>
      <c r="S45" s="78">
        <f>ASSUMPTIONS!$C$61*12</f>
        <v>6000</v>
      </c>
      <c r="T45" s="78">
        <f t="shared" si="8"/>
        <v>420366.03736433352</v>
      </c>
      <c r="U45" s="78">
        <f>U44*(1+ASSUMPTIONS!$C$59)+S45+MAX(T45,0)*0.2</f>
        <v>10972732.907205341</v>
      </c>
      <c r="V45" s="77" t="s">
        <v>327</v>
      </c>
      <c r="W45" s="78">
        <f>ASSUMPTIONS!$D$48*(1+ASSUMPTIONS!$B$51)^32</f>
        <v>806853.5117745318</v>
      </c>
      <c r="X45" s="78">
        <f>ASSUMPTIONS!$D$33*(1+ASSUMPTIONS!$D$34)^38*12</f>
        <v>18933.386617015061</v>
      </c>
      <c r="Y45" s="78">
        <f>MAX((W45-X45)*(ASSUMPTIONS!$D$66+ASSUMPTIONS!$D$67),0)</f>
        <v>244255.23879883016</v>
      </c>
      <c r="Z45" s="78">
        <f>ASSUMPTIONS!$D$28*(1+ASSUMPTIONS!$D$29)^38</f>
        <v>0</v>
      </c>
      <c r="AA45" s="78">
        <f>ASSUMPTIONS!$B$70*12*(1+ASSUMPTIONS!$B$71)^40</f>
        <v>93704.775686918612</v>
      </c>
      <c r="AB45" s="78">
        <f>ASSUMPTIONS!$D$61*12</f>
        <v>6000</v>
      </c>
      <c r="AC45" s="78">
        <f t="shared" si="9"/>
        <v>481826.88390579808</v>
      </c>
      <c r="AD45" s="78">
        <f>AD44*(1+ASSUMPTIONS!$D$59)+AB45+MAX(AC45,0)*0.2</f>
        <v>10404528.150370739</v>
      </c>
      <c r="AE45" s="78">
        <f t="shared" si="10"/>
        <v>-36521.631223334349</v>
      </c>
      <c r="AF45" s="78">
        <f t="shared" si="11"/>
        <v>-66582.789180452004</v>
      </c>
      <c r="AG45" s="78">
        <f t="shared" si="12"/>
        <v>36738.764219496399</v>
      </c>
      <c r="AH45" s="78">
        <f t="shared" si="13"/>
        <v>604943.52105409838</v>
      </c>
      <c r="AI45" s="79" t="s">
        <v>451</v>
      </c>
    </row>
    <row r="46" spans="1:35" ht="18" customHeight="1" x14ac:dyDescent="0.2">
      <c r="A46" s="63">
        <v>41</v>
      </c>
      <c r="B46" s="64">
        <v>2067</v>
      </c>
      <c r="C46" s="63">
        <v>77</v>
      </c>
      <c r="D46" s="70" t="s">
        <v>327</v>
      </c>
      <c r="E46" s="39">
        <f>ASSUMPTIONS!$B$21*(1+ASSUMPTIONS!$B$23)^33*12+ASSUMPTIONS!$B$48*(1+ASSUMPTIONS!$B$51)^27</f>
        <v>771622.24325295503</v>
      </c>
      <c r="F46" s="39">
        <f>ASSUMPTIONS!$B$33*(1+ASSUMPTIONS!$B$34)^33*12</f>
        <v>16491.597621952089</v>
      </c>
      <c r="G46" s="39">
        <f>MAX((E46-F46)*(ASSUMPTIONS!$B$66+ASSUMPTIONS!$B$67),0)</f>
        <v>234090.50014561092</v>
      </c>
      <c r="H46" s="39">
        <f>ASSUMPTIONS!$B$26*(1+ASSUMPTIONS!$B$27)^33</f>
        <v>482.72501338073062</v>
      </c>
      <c r="I46" s="39">
        <f>ASSUMPTIONS!$B$70*12*(1+ASSUMPTIONS!$B$71)^41</f>
        <v>96515.91895752617</v>
      </c>
      <c r="J46" s="39">
        <f>ASSUMPTIONS!$B$61*12</f>
        <v>6000</v>
      </c>
      <c r="K46" s="39">
        <f t="shared" si="7"/>
        <v>451024.6967583893</v>
      </c>
      <c r="L46" s="39">
        <f>L45*(1+ASSUMPTIONS!$B$59)+J46+MAX(K46,0)*0.2</f>
        <v>11876339.627776256</v>
      </c>
      <c r="M46" s="70" t="s">
        <v>446</v>
      </c>
      <c r="N46" s="39">
        <f>ASSUMPTIONS!$C$47*(1+ASSUMPTIONS!$B$51)^39</f>
        <v>807864.04797011067</v>
      </c>
      <c r="O46" s="39">
        <f>ASSUMPTIONS!$C$33*(1+ASSUMPTIONS!$C$34)^39*12</f>
        <v>19463.521442291483</v>
      </c>
      <c r="P46" s="39">
        <f>MAX((N46-O46)*(ASSUMPTIONS!$C$65+ASSUMPTIONS!$C$67),0)</f>
        <v>228636.15269306759</v>
      </c>
      <c r="Q46" s="39">
        <f>ASSUMPTIONS!$C$28*(1+ASSUMPTIONS!$C$29)^39</f>
        <v>60345.893046666351</v>
      </c>
      <c r="R46" s="39">
        <f>ASSUMPTIONS!$B$70*12*(1+ASSUMPTIONS!$B$71)^41</f>
        <v>96515.91895752617</v>
      </c>
      <c r="S46" s="39">
        <f>ASSUMPTIONS!$C$61*12</f>
        <v>6000</v>
      </c>
      <c r="T46" s="39">
        <f t="shared" si="8"/>
        <v>435829.60471514199</v>
      </c>
      <c r="U46" s="39">
        <f>U45*(1+ASSUMPTIONS!$C$59)+S46+MAX(T46,0)*0.2</f>
        <v>11833990.131652744</v>
      </c>
      <c r="V46" s="70" t="s">
        <v>327</v>
      </c>
      <c r="W46" s="39">
        <f>ASSUMPTIONS!$D$48*(1+ASSUMPTIONS!$B$51)^33</f>
        <v>839127.65224551305</v>
      </c>
      <c r="X46" s="39">
        <f>ASSUMPTIONS!$D$33*(1+ASSUMPTIONS!$D$34)^39*12</f>
        <v>19463.521442291483</v>
      </c>
      <c r="Y46" s="39">
        <f>MAX((W46-X46)*(ASSUMPTIONS!$D$66+ASSUMPTIONS!$D$67),0)</f>
        <v>254095.88054899868</v>
      </c>
      <c r="Z46" s="39">
        <f>ASSUMPTIONS!$D$28*(1+ASSUMPTIONS!$D$29)^39</f>
        <v>0</v>
      </c>
      <c r="AA46" s="39">
        <f>ASSUMPTIONS!$B$70*12*(1+ASSUMPTIONS!$B$71)^41</f>
        <v>96515.91895752617</v>
      </c>
      <c r="AB46" s="39">
        <f>ASSUMPTIONS!$D$61*12</f>
        <v>6000</v>
      </c>
      <c r="AC46" s="39">
        <f t="shared" si="9"/>
        <v>501979.37418127962</v>
      </c>
      <c r="AD46" s="39">
        <f>AD45*(1+ASSUMPTIONS!$D$59)+AB46+MAX(AC46,0)*0.2</f>
        <v>11239240.995732948</v>
      </c>
      <c r="AE46" s="39">
        <f t="shared" si="10"/>
        <v>-39213.728537495015</v>
      </c>
      <c r="AF46" s="39">
        <f t="shared" si="11"/>
        <v>-70477.332812897395</v>
      </c>
      <c r="AG46" s="39">
        <f t="shared" si="12"/>
        <v>42349.496123511344</v>
      </c>
      <c r="AH46" s="39">
        <f t="shared" si="13"/>
        <v>637098.63204330765</v>
      </c>
    </row>
    <row r="47" spans="1:35" ht="18" customHeight="1" x14ac:dyDescent="0.2">
      <c r="A47" s="63">
        <v>42</v>
      </c>
      <c r="B47" s="64">
        <v>2068</v>
      </c>
      <c r="C47" s="63">
        <v>78</v>
      </c>
      <c r="D47" s="65" t="s">
        <v>327</v>
      </c>
      <c r="E47" s="45">
        <f>ASSUMPTIONS!$B$21*(1+ASSUMPTIONS!$B$23)^34*12+ASSUMPTIONS!$B$48*(1+ASSUMPTIONS!$B$51)^28</f>
        <v>801185.76333417546</v>
      </c>
      <c r="F47" s="45">
        <f>ASSUMPTIONS!$B$33*(1+ASSUMPTIONS!$B$34)^34*12</f>
        <v>16953.362355366749</v>
      </c>
      <c r="G47" s="45">
        <f>MAX((E47-F47)*(ASSUMPTIONS!$B$66+ASSUMPTIONS!$B$67),0)</f>
        <v>243112.04430343071</v>
      </c>
      <c r="H47" s="45">
        <f>ASSUMPTIONS!$B$26*(1+ASSUMPTIONS!$B$27)^34</f>
        <v>497.20676378215245</v>
      </c>
      <c r="I47" s="45">
        <f>ASSUMPTIONS!$B$70*12*(1+ASSUMPTIONS!$B$71)^42</f>
        <v>99411.396526251963</v>
      </c>
      <c r="J47" s="45">
        <f>ASSUMPTIONS!$B$61*12</f>
        <v>6000</v>
      </c>
      <c r="K47" s="45">
        <f t="shared" si="7"/>
        <v>469118.47809607728</v>
      </c>
      <c r="L47" s="45">
        <f>L46*(1+ASSUMPTIONS!$B$59)+J47+MAX(K47,0)*0.2</f>
        <v>12807507.097339811</v>
      </c>
      <c r="M47" s="66" t="s">
        <v>446</v>
      </c>
      <c r="N47" s="40">
        <f>ASSUMPTIONS!$C$47*(1+ASSUMPTIONS!$B$51)^40</f>
        <v>840178.60988891544</v>
      </c>
      <c r="O47" s="40">
        <f>ASSUMPTIONS!$C$33*(1+ASSUMPTIONS!$C$34)^40*12</f>
        <v>20008.500042675645</v>
      </c>
      <c r="P47" s="40">
        <f>MAX((N47-O47)*(ASSUMPTIONS!$C$65+ASSUMPTIONS!$C$67),0)</f>
        <v>237849.33185540957</v>
      </c>
      <c r="Q47" s="40">
        <f>ASSUMPTIONS!$C$28*(1+ASSUMPTIONS!$C$29)^40</f>
        <v>65173.564490399665</v>
      </c>
      <c r="R47" s="40">
        <f>ASSUMPTIONS!$B$70*12*(1+ASSUMPTIONS!$B$71)^42</f>
        <v>99411.396526251963</v>
      </c>
      <c r="S47" s="40">
        <f>ASSUMPTIONS!$C$61*12</f>
        <v>6000</v>
      </c>
      <c r="T47" s="40">
        <f t="shared" si="8"/>
        <v>451752.81705952989</v>
      </c>
      <c r="U47" s="40">
        <f>U46*(1+ASSUMPTIONS!$C$59)+S47+MAX(T47,0)*0.2</f>
        <v>12758720.004280344</v>
      </c>
      <c r="V47" s="67" t="s">
        <v>327</v>
      </c>
      <c r="W47" s="68">
        <f>ASSUMPTIONS!$D$48*(1+ASSUMPTIONS!$B$51)^34</f>
        <v>872692.75833533367</v>
      </c>
      <c r="X47" s="68">
        <f>ASSUMPTIONS!$D$33*(1+ASSUMPTIONS!$D$34)^40*12</f>
        <v>20008.500042675645</v>
      </c>
      <c r="Y47" s="68">
        <f>MAX((W47-X47)*(ASSUMPTIONS!$D$66+ASSUMPTIONS!$D$67),0)</f>
        <v>264332.12007072399</v>
      </c>
      <c r="Z47" s="68">
        <f>ASSUMPTIONS!$D$28*(1+ASSUMPTIONS!$D$29)^40</f>
        <v>0</v>
      </c>
      <c r="AA47" s="68">
        <f>ASSUMPTIONS!$B$70*12*(1+ASSUMPTIONS!$B$71)^42</f>
        <v>99411.396526251963</v>
      </c>
      <c r="AB47" s="68">
        <f>ASSUMPTIONS!$D$61*12</f>
        <v>6000</v>
      </c>
      <c r="AC47" s="68">
        <f t="shared" si="9"/>
        <v>522957.74178103334</v>
      </c>
      <c r="AD47" s="68">
        <f>AD46*(1+ASSUMPTIONS!$D$59)+AB47+MAX(AC47,0)*0.2</f>
        <v>12136579.413790463</v>
      </c>
      <c r="AE47" s="69">
        <f t="shared" si="10"/>
        <v>-42047.984242048929</v>
      </c>
      <c r="AF47" s="69">
        <f t="shared" si="11"/>
        <v>-74562.132688467158</v>
      </c>
      <c r="AG47" s="69">
        <f t="shared" si="12"/>
        <v>48787.093059467152</v>
      </c>
      <c r="AH47" s="69">
        <f t="shared" si="13"/>
        <v>670927.68354934826</v>
      </c>
    </row>
    <row r="48" spans="1:35" ht="18" customHeight="1" x14ac:dyDescent="0.2">
      <c r="A48" s="63">
        <v>43</v>
      </c>
      <c r="B48" s="64">
        <v>2069</v>
      </c>
      <c r="C48" s="63">
        <v>79</v>
      </c>
      <c r="D48" s="70" t="s">
        <v>327</v>
      </c>
      <c r="E48" s="39">
        <f>ASSUMPTIONS!$B$21*(1+ASSUMPTIONS!$B$23)^35*12+ASSUMPTIONS!$B$48*(1+ASSUMPTIONS!$B$51)^29</f>
        <v>831895.38586847542</v>
      </c>
      <c r="F48" s="39">
        <f>ASSUMPTIONS!$B$33*(1+ASSUMPTIONS!$B$34)^35*12</f>
        <v>17428.056501317016</v>
      </c>
      <c r="G48" s="39">
        <f>MAX((E48-F48)*(ASSUMPTIONS!$B$66+ASSUMPTIONS!$B$67),0)</f>
        <v>252484.8721038191</v>
      </c>
      <c r="H48" s="39">
        <f>ASSUMPTIONS!$B$26*(1+ASSUMPTIONS!$B$27)^35</f>
        <v>512.12296669561704</v>
      </c>
      <c r="I48" s="39">
        <f>ASSUMPTIONS!$B$70*12*(1+ASSUMPTIONS!$B$71)^43</f>
        <v>102393.73842203952</v>
      </c>
      <c r="J48" s="39">
        <f>ASSUMPTIONS!$B$61*12</f>
        <v>6000</v>
      </c>
      <c r="K48" s="39">
        <f t="shared" si="7"/>
        <v>487932.70887723833</v>
      </c>
      <c r="L48" s="39">
        <f>L47*(1+ASSUMPTIONS!$B$59)+J48+MAX(K48,0)*0.2</f>
        <v>13807619.135929046</v>
      </c>
      <c r="M48" s="70" t="s">
        <v>446</v>
      </c>
      <c r="N48" s="39">
        <f>ASSUMPTIONS!$C$47*(1+ASSUMPTIONS!$B$51)^41</f>
        <v>873785.75428447197</v>
      </c>
      <c r="O48" s="39">
        <f>ASSUMPTIONS!$C$33*(1+ASSUMPTIONS!$C$34)^41*12</f>
        <v>20568.738043870566</v>
      </c>
      <c r="P48" s="39">
        <f>MAX((N48-O48)*(ASSUMPTIONS!$C$65+ASSUMPTIONS!$C$67),0)</f>
        <v>247432.93470977445</v>
      </c>
      <c r="Q48" s="39">
        <f>ASSUMPTIONS!$C$28*(1+ASSUMPTIONS!$C$29)^41</f>
        <v>70387.449649631642</v>
      </c>
      <c r="R48" s="39">
        <f>ASSUMPTIONS!$B$70*12*(1+ASSUMPTIONS!$B$71)^43</f>
        <v>102393.73842203952</v>
      </c>
      <c r="S48" s="39">
        <f>ASSUMPTIONS!$C$61*12</f>
        <v>6000</v>
      </c>
      <c r="T48" s="39">
        <f t="shared" si="8"/>
        <v>468140.36954689689</v>
      </c>
      <c r="U48" s="39">
        <f>U47*(1+ASSUMPTIONS!$C$59)+S48+MAX(T48,0)*0.2</f>
        <v>13751458.478489349</v>
      </c>
      <c r="V48" s="70" t="s">
        <v>327</v>
      </c>
      <c r="W48" s="39">
        <f>ASSUMPTIONS!$D$48*(1+ASSUMPTIONS!$B$51)^35</f>
        <v>907600.46866874699</v>
      </c>
      <c r="X48" s="39">
        <f>ASSUMPTIONS!$D$33*(1+ASSUMPTIONS!$D$34)^41*12</f>
        <v>20568.738043870566</v>
      </c>
      <c r="Y48" s="39">
        <f>MAX((W48-X48)*(ASSUMPTIONS!$D$66+ASSUMPTIONS!$D$67),0)</f>
        <v>274979.83649371169</v>
      </c>
      <c r="Z48" s="39">
        <f>ASSUMPTIONS!$D$28*(1+ASSUMPTIONS!$D$29)^41</f>
        <v>0</v>
      </c>
      <c r="AA48" s="39">
        <f>ASSUMPTIONS!$B$70*12*(1+ASSUMPTIONS!$B$71)^43</f>
        <v>102393.73842203952</v>
      </c>
      <c r="AB48" s="39">
        <f>ASSUMPTIONS!$D$61*12</f>
        <v>6000</v>
      </c>
      <c r="AC48" s="39">
        <f t="shared" si="9"/>
        <v>544795.63179686631</v>
      </c>
      <c r="AD48" s="39">
        <f>AD47*(1+ASSUMPTIONS!$D$59)+AB48+MAX(AC48,0)*0.2</f>
        <v>13101099.099115169</v>
      </c>
      <c r="AE48" s="39">
        <f t="shared" si="10"/>
        <v>-45031.049958550022</v>
      </c>
      <c r="AF48" s="39">
        <f t="shared" si="11"/>
        <v>-78845.764342825045</v>
      </c>
      <c r="AG48" s="39">
        <f t="shared" si="12"/>
        <v>56160.657439697534</v>
      </c>
      <c r="AH48" s="39">
        <f t="shared" si="13"/>
        <v>706520.03681387752</v>
      </c>
    </row>
    <row r="49" spans="1:34" ht="18" customHeight="1" x14ac:dyDescent="0.2">
      <c r="A49" s="63">
        <v>44</v>
      </c>
      <c r="B49" s="64">
        <v>2070</v>
      </c>
      <c r="C49" s="63">
        <v>80</v>
      </c>
      <c r="D49" s="65" t="s">
        <v>327</v>
      </c>
      <c r="E49" s="45">
        <f>ASSUMPTIONS!$B$21*(1+ASSUMPTIONS!$B$23)^36*12+ASSUMPTIONS!$B$48*(1+ASSUMPTIONS!$B$51)^30</f>
        <v>863795.93468017352</v>
      </c>
      <c r="F49" s="45">
        <f>ASSUMPTIONS!$B$33*(1+ASSUMPTIONS!$B$34)^36*12</f>
        <v>17916.042083353896</v>
      </c>
      <c r="G49" s="45">
        <f>MAX((E49-F49)*(ASSUMPTIONS!$B$66+ASSUMPTIONS!$B$67),0)</f>
        <v>262222.7667050141</v>
      </c>
      <c r="H49" s="45">
        <f>ASSUMPTIONS!$B$26*(1+ASSUMPTIONS!$B$27)^36</f>
        <v>527.48665569648563</v>
      </c>
      <c r="I49" s="45">
        <f>ASSUMPTIONS!$B$70*12*(1+ASSUMPTIONS!$B$71)^44</f>
        <v>105465.5505747007</v>
      </c>
      <c r="J49" s="45">
        <f>ASSUMPTIONS!$B$61*12</f>
        <v>6000</v>
      </c>
      <c r="K49" s="45">
        <f t="shared" si="7"/>
        <v>507496.1728281161</v>
      </c>
      <c r="L49" s="45">
        <f>L48*(1+ASSUMPTIONS!$B$59)+J49+MAX(K49,0)*0.2</f>
        <v>14881651.710009703</v>
      </c>
      <c r="M49" s="66" t="s">
        <v>446</v>
      </c>
      <c r="N49" s="40">
        <f>ASSUMPTIONS!$C$47*(1+ASSUMPTIONS!$B$51)^42</f>
        <v>908737.18445585086</v>
      </c>
      <c r="O49" s="40">
        <f>ASSUMPTIONS!$C$33*(1+ASSUMPTIONS!$C$34)^42*12</f>
        <v>21144.662709098939</v>
      </c>
      <c r="P49" s="40">
        <f>MAX((N49-O49)*(ASSUMPTIONS!$C$65+ASSUMPTIONS!$C$67),0)</f>
        <v>257401.8313065581</v>
      </c>
      <c r="Q49" s="40">
        <f>ASSUMPTIONS!$C$28*(1+ASSUMPTIONS!$C$29)^42</f>
        <v>76018.445621602164</v>
      </c>
      <c r="R49" s="40">
        <f>ASSUMPTIONS!$B$70*12*(1+ASSUMPTIONS!$B$71)^44</f>
        <v>105465.5505747007</v>
      </c>
      <c r="S49" s="40">
        <f>ASSUMPTIONS!$C$61*12</f>
        <v>6000</v>
      </c>
      <c r="T49" s="40">
        <f t="shared" si="8"/>
        <v>484996.01966208883</v>
      </c>
      <c r="U49" s="40">
        <f>U48*(1+ASSUMPTIONS!$C$59)+S49+MAX(T49,0)*0.2</f>
        <v>14817059.775916021</v>
      </c>
      <c r="V49" s="67" t="s">
        <v>327</v>
      </c>
      <c r="W49" s="68">
        <f>ASSUMPTIONS!$D$48*(1+ASSUMPTIONS!$B$51)^36</f>
        <v>943904.48741549684</v>
      </c>
      <c r="X49" s="68">
        <f>ASSUMPTIONS!$D$33*(1+ASSUMPTIONS!$D$34)^42*12</f>
        <v>21144.662709098939</v>
      </c>
      <c r="Y49" s="68">
        <f>MAX((W49-X49)*(ASSUMPTIONS!$D$66+ASSUMPTIONS!$D$67),0)</f>
        <v>286055.54565898335</v>
      </c>
      <c r="Z49" s="68">
        <f>ASSUMPTIONS!$D$28*(1+ASSUMPTIONS!$D$29)^42</f>
        <v>0</v>
      </c>
      <c r="AA49" s="68">
        <f>ASSUMPTIONS!$B$70*12*(1+ASSUMPTIONS!$B$71)^44</f>
        <v>105465.5505747007</v>
      </c>
      <c r="AB49" s="68">
        <f>ASSUMPTIONS!$D$61*12</f>
        <v>6000</v>
      </c>
      <c r="AC49" s="68">
        <f t="shared" si="9"/>
        <v>567528.05389091175</v>
      </c>
      <c r="AD49" s="68">
        <f>AD48*(1+ASSUMPTIONS!$D$59)+AB49+MAX(AC49,0)*0.2</f>
        <v>14137681.646831414</v>
      </c>
      <c r="AE49" s="69">
        <f t="shared" si="10"/>
        <v>-48169.870401422377</v>
      </c>
      <c r="AF49" s="69">
        <f t="shared" si="11"/>
        <v>-83337.173361068359</v>
      </c>
      <c r="AG49" s="69">
        <f t="shared" si="12"/>
        <v>64591.934093682095</v>
      </c>
      <c r="AH49" s="69">
        <f t="shared" si="13"/>
        <v>743970.06317828968</v>
      </c>
    </row>
    <row r="50" spans="1:34" ht="18" customHeight="1" x14ac:dyDescent="0.2">
      <c r="A50" s="63">
        <v>45</v>
      </c>
      <c r="B50" s="64">
        <v>2071</v>
      </c>
      <c r="C50" s="63">
        <v>81</v>
      </c>
      <c r="D50" s="70" t="s">
        <v>327</v>
      </c>
      <c r="E50" s="39">
        <f>ASSUMPTIONS!$B$21*(1+ASSUMPTIONS!$B$23)^37*12+ASSUMPTIONS!$B$48*(1+ASSUMPTIONS!$B$51)^31</f>
        <v>896933.99797889439</v>
      </c>
      <c r="F50" s="39">
        <f>ASSUMPTIONS!$B$33*(1+ASSUMPTIONS!$B$34)^37*12</f>
        <v>18417.691261687803</v>
      </c>
      <c r="G50" s="39">
        <f>MAX((E50-F50)*(ASSUMPTIONS!$B$66+ASSUMPTIONS!$B$67),0)</f>
        <v>272340.05508233403</v>
      </c>
      <c r="H50" s="39">
        <f>ASSUMPTIONS!$B$26*(1+ASSUMPTIONS!$B$27)^37</f>
        <v>543.31125536738011</v>
      </c>
      <c r="I50" s="39">
        <f>ASSUMPTIONS!$B$70*12*(1+ASSUMPTIONS!$B$71)^45</f>
        <v>108629.51709194171</v>
      </c>
      <c r="J50" s="39">
        <f>ASSUMPTIONS!$B$61*12</f>
        <v>6000</v>
      </c>
      <c r="K50" s="39">
        <f t="shared" si="7"/>
        <v>527838.80581093905</v>
      </c>
      <c r="L50" s="39">
        <f>L49*(1+ASSUMPTIONS!$B$59)+J50+MAX(K50,0)*0.2</f>
        <v>16034935.090872571</v>
      </c>
      <c r="M50" s="70" t="s">
        <v>446</v>
      </c>
      <c r="N50" s="39">
        <f>ASSUMPTIONS!$C$47*(1+ASSUMPTIONS!$B$51)^43</f>
        <v>945086.6718340849</v>
      </c>
      <c r="O50" s="39">
        <f>ASSUMPTIONS!$C$33*(1+ASSUMPTIONS!$C$34)^43*12</f>
        <v>21736.713264953709</v>
      </c>
      <c r="P50" s="39">
        <f>MAX((N50-O50)*(ASSUMPTIONS!$C$65+ASSUMPTIONS!$C$67),0)</f>
        <v>267771.48798504809</v>
      </c>
      <c r="Q50" s="39">
        <f>ASSUMPTIONS!$C$28*(1+ASSUMPTIONS!$C$29)^43</f>
        <v>82099.921271330342</v>
      </c>
      <c r="R50" s="39">
        <f>ASSUMPTIONS!$B$70*12*(1+ASSUMPTIONS!$B$71)^45</f>
        <v>108629.51709194171</v>
      </c>
      <c r="S50" s="39">
        <f>ASSUMPTIONS!$C$61*12</f>
        <v>6000</v>
      </c>
      <c r="T50" s="39">
        <f t="shared" si="8"/>
        <v>502322.45875071845</v>
      </c>
      <c r="U50" s="39">
        <f>U49*(1+ASSUMPTIONS!$C$59)+S50+MAX(T50,0)*0.2</f>
        <v>15960718.451980287</v>
      </c>
      <c r="V50" s="70" t="s">
        <v>327</v>
      </c>
      <c r="W50" s="39">
        <f>ASSUMPTIONS!$D$48*(1+ASSUMPTIONS!$B$51)^37</f>
        <v>981660.66691211693</v>
      </c>
      <c r="X50" s="39">
        <f>ASSUMPTIONS!$D$33*(1+ASSUMPTIONS!$D$34)^43*12</f>
        <v>21736.713264953709</v>
      </c>
      <c r="Y50" s="39">
        <f>MAX((W50-X50)*(ASSUMPTIONS!$D$66+ASSUMPTIONS!$D$67),0)</f>
        <v>297576.42563062062</v>
      </c>
      <c r="Z50" s="39">
        <f>ASSUMPTIONS!$D$28*(1+ASSUMPTIONS!$D$29)^43</f>
        <v>0</v>
      </c>
      <c r="AA50" s="39">
        <f>ASSUMPTIONS!$B$70*12*(1+ASSUMPTIONS!$B$71)^45</f>
        <v>108629.51709194171</v>
      </c>
      <c r="AB50" s="39">
        <f>ASSUMPTIONS!$D$61*12</f>
        <v>6000</v>
      </c>
      <c r="AC50" s="39">
        <f t="shared" si="9"/>
        <v>591191.43745450827</v>
      </c>
      <c r="AD50" s="39">
        <f>AD49*(1+ASSUMPTIONS!$D$59)+AB50+MAX(AC50,0)*0.2</f>
        <v>15251557.649600515</v>
      </c>
      <c r="AE50" s="39">
        <f t="shared" si="10"/>
        <v>-51471.695858456427</v>
      </c>
      <c r="AF50" s="39">
        <f t="shared" si="11"/>
        <v>-88045.690936488449</v>
      </c>
      <c r="AG50" s="39">
        <f t="shared" si="12"/>
        <v>74216.638892283663</v>
      </c>
      <c r="AH50" s="39">
        <f t="shared" si="13"/>
        <v>783377.44127205573</v>
      </c>
    </row>
    <row r="51" spans="1:34" ht="18" customHeight="1" x14ac:dyDescent="0.2">
      <c r="A51" s="63">
        <v>46</v>
      </c>
      <c r="B51" s="64">
        <v>2072</v>
      </c>
      <c r="C51" s="63">
        <v>82</v>
      </c>
      <c r="D51" s="65" t="s">
        <v>327</v>
      </c>
      <c r="E51" s="45">
        <f>ASSUMPTIONS!$B$21*(1+ASSUMPTIONS!$B$23)^38*12+ASSUMPTIONS!$B$48*(1+ASSUMPTIONS!$B$51)^32</f>
        <v>931357.99813508661</v>
      </c>
      <c r="F51" s="45">
        <f>ASSUMPTIONS!$B$33*(1+ASSUMPTIONS!$B$34)^38*12</f>
        <v>18933.386617015061</v>
      </c>
      <c r="G51" s="45">
        <f>MAX((E51-F51)*(ASSUMPTIONS!$B$66+ASSUMPTIONS!$B$67),0)</f>
        <v>282851.62957060215</v>
      </c>
      <c r="H51" s="45">
        <f>ASSUMPTIONS!$B$26*(1+ASSUMPTIONS!$B$27)^38</f>
        <v>559.61059302840147</v>
      </c>
      <c r="I51" s="45">
        <f>ASSUMPTIONS!$B$70*12*(1+ASSUMPTIONS!$B$71)^46</f>
        <v>111888.40260469996</v>
      </c>
      <c r="J51" s="45">
        <f>ASSUMPTIONS!$B$61*12</f>
        <v>6000</v>
      </c>
      <c r="K51" s="45">
        <f t="shared" si="7"/>
        <v>548991.74198377121</v>
      </c>
      <c r="L51" s="45">
        <f>L50*(1+ASSUMPTIONS!$B$59)+J51+MAX(K51,0)*0.2</f>
        <v>17273178.895630408</v>
      </c>
      <c r="M51" s="66" t="s">
        <v>446</v>
      </c>
      <c r="N51" s="40">
        <f>ASSUMPTIONS!$C$47*(1+ASSUMPTIONS!$B$51)^44</f>
        <v>982890.1387074485</v>
      </c>
      <c r="O51" s="40">
        <f>ASSUMPTIONS!$C$33*(1+ASSUMPTIONS!$C$34)^44*12</f>
        <v>22345.341236372413</v>
      </c>
      <c r="P51" s="40">
        <f>MAX((N51-O51)*(ASSUMPTIONS!$C$65+ASSUMPTIONS!$C$67),0)</f>
        <v>278557.99126661214</v>
      </c>
      <c r="Q51" s="40">
        <f>ASSUMPTIONS!$C$28*(1+ASSUMPTIONS!$C$29)^44</f>
        <v>88667.914973036779</v>
      </c>
      <c r="R51" s="40">
        <f>ASSUMPTIONS!$B$70*12*(1+ASSUMPTIONS!$B$71)^46</f>
        <v>111888.40260469996</v>
      </c>
      <c r="S51" s="40">
        <f>ASSUMPTIONS!$C$61*12</f>
        <v>6000</v>
      </c>
      <c r="T51" s="40">
        <f t="shared" si="8"/>
        <v>520121.17109947209</v>
      </c>
      <c r="U51" s="40">
        <f>U50*(1+ASSUMPTIONS!$C$59)+S51+MAX(T51,0)*0.2</f>
        <v>17187992.977838803</v>
      </c>
      <c r="V51" s="67" t="s">
        <v>327</v>
      </c>
      <c r="W51" s="68">
        <f>ASSUMPTIONS!$D$48*(1+ASSUMPTIONS!$B$51)^38</f>
        <v>1020927.0935886014</v>
      </c>
      <c r="X51" s="68">
        <f>ASSUMPTIONS!$D$33*(1+ASSUMPTIONS!$D$34)^44*12</f>
        <v>22345.341236372413</v>
      </c>
      <c r="Y51" s="68">
        <f>MAX((W51-X51)*(ASSUMPTIONS!$D$66+ASSUMPTIONS!$D$67),0)</f>
        <v>309560.34322919103</v>
      </c>
      <c r="Z51" s="68">
        <f>ASSUMPTIONS!$D$28*(1+ASSUMPTIONS!$D$29)^44</f>
        <v>0</v>
      </c>
      <c r="AA51" s="68">
        <f>ASSUMPTIONS!$B$70*12*(1+ASSUMPTIONS!$B$71)^46</f>
        <v>111888.40260469996</v>
      </c>
      <c r="AB51" s="68">
        <f>ASSUMPTIONS!$D$61*12</f>
        <v>6000</v>
      </c>
      <c r="AC51" s="68">
        <f t="shared" si="9"/>
        <v>615823.68899108283</v>
      </c>
      <c r="AD51" s="68">
        <f>AD50*(1+ASSUMPTIONS!$D$59)+AB51+MAX(AC51,0)*0.2</f>
        <v>16448331.422870768</v>
      </c>
      <c r="AE51" s="69">
        <f t="shared" si="10"/>
        <v>-54944.095191719127</v>
      </c>
      <c r="AF51" s="69">
        <f t="shared" si="11"/>
        <v>-92981.05007287208</v>
      </c>
      <c r="AG51" s="69">
        <f t="shared" si="12"/>
        <v>85185.917791604996</v>
      </c>
      <c r="AH51" s="69">
        <f t="shared" si="13"/>
        <v>824847.47275963984</v>
      </c>
    </row>
    <row r="52" spans="1:34" ht="18" customHeight="1" x14ac:dyDescent="0.2">
      <c r="A52" s="63">
        <v>47</v>
      </c>
      <c r="B52" s="64">
        <v>2073</v>
      </c>
      <c r="C52" s="63">
        <v>83</v>
      </c>
      <c r="D52" s="70" t="s">
        <v>327</v>
      </c>
      <c r="E52" s="39">
        <f>ASSUMPTIONS!$B$21*(1+ASSUMPTIONS!$B$23)^39*12+ASSUMPTIONS!$B$48*(1+ASSUMPTIONS!$B$51)^33</f>
        <v>967118.26422416337</v>
      </c>
      <c r="F52" s="39">
        <f>ASSUMPTIONS!$B$33*(1+ASSUMPTIONS!$B$34)^39*12</f>
        <v>19463.521442291483</v>
      </c>
      <c r="G52" s="39">
        <f>MAX((E52-F52)*(ASSUMPTIONS!$B$66+ASSUMPTIONS!$B$67),0)</f>
        <v>293772.97026238032</v>
      </c>
      <c r="H52" s="39">
        <f>ASSUMPTIONS!$B$26*(1+ASSUMPTIONS!$B$27)^39</f>
        <v>576.39891081925362</v>
      </c>
      <c r="I52" s="39">
        <f>ASSUMPTIONS!$B$70*12*(1+ASSUMPTIONS!$B$71)^47</f>
        <v>115245.05468284099</v>
      </c>
      <c r="J52" s="39">
        <f>ASSUMPTIONS!$B$61*12</f>
        <v>6000</v>
      </c>
      <c r="K52" s="39">
        <f t="shared" si="7"/>
        <v>570987.36181041435</v>
      </c>
      <c r="L52" s="39">
        <f>L51*(1+ASSUMPTIONS!$B$59)+J52+MAX(K52,0)*0.2</f>
        <v>18602498.89068662</v>
      </c>
      <c r="M52" s="70" t="s">
        <v>446</v>
      </c>
      <c r="N52" s="39">
        <f>ASSUMPTIONS!$C$47*(1+ASSUMPTIONS!$B$51)^45</f>
        <v>1022205.7442557464</v>
      </c>
      <c r="O52" s="39">
        <f>ASSUMPTIONS!$C$33*(1+ASSUMPTIONS!$C$34)^45*12</f>
        <v>22971.01079099084</v>
      </c>
      <c r="P52" s="39">
        <f>MAX((N52-O52)*(ASSUMPTIONS!$C$65+ASSUMPTIONS!$C$67),0)</f>
        <v>289778.07270477916</v>
      </c>
      <c r="Q52" s="39">
        <f>ASSUMPTIONS!$C$28*(1+ASSUMPTIONS!$C$29)^45</f>
        <v>95761.348170879719</v>
      </c>
      <c r="R52" s="39">
        <f>ASSUMPTIONS!$B$70*12*(1+ASSUMPTIONS!$B$71)^47</f>
        <v>115245.05468284099</v>
      </c>
      <c r="S52" s="39">
        <f>ASSUMPTIONS!$C$61*12</f>
        <v>6000</v>
      </c>
      <c r="T52" s="39">
        <f t="shared" si="8"/>
        <v>538392.27948823723</v>
      </c>
      <c r="U52" s="39">
        <f>U51*(1+ASSUMPTIONS!$C$59)+S52+MAX(T52,0)*0.2</f>
        <v>18504830.942185167</v>
      </c>
      <c r="V52" s="70" t="s">
        <v>327</v>
      </c>
      <c r="W52" s="39">
        <f>ASSUMPTIONS!$D$48*(1+ASSUMPTIONS!$B$51)^39</f>
        <v>1061764.1773321454</v>
      </c>
      <c r="X52" s="39">
        <f>ASSUMPTIONS!$D$33*(1+ASSUMPTIONS!$D$34)^45*12</f>
        <v>22971.01079099084</v>
      </c>
      <c r="Y52" s="39">
        <f>MAX((W52-X52)*(ASSUMPTIONS!$D$66+ASSUMPTIONS!$D$67),0)</f>
        <v>322025.88162775792</v>
      </c>
      <c r="Z52" s="39">
        <f>ASSUMPTIONS!$D$28*(1+ASSUMPTIONS!$D$29)^45</f>
        <v>0</v>
      </c>
      <c r="AA52" s="39">
        <f>ASSUMPTIONS!$B$70*12*(1+ASSUMPTIONS!$B$71)^47</f>
        <v>115245.05468284099</v>
      </c>
      <c r="AB52" s="39">
        <f>ASSUMPTIONS!$D$61*12</f>
        <v>6000</v>
      </c>
      <c r="AC52" s="39">
        <f t="shared" si="9"/>
        <v>641464.25181253743</v>
      </c>
      <c r="AD52" s="39">
        <f>AD51*(1+ASSUMPTIONS!$D$59)+AB52+MAX(AC52,0)*0.2</f>
        <v>17734007.472834229</v>
      </c>
      <c r="AE52" s="39">
        <f t="shared" si="10"/>
        <v>-58594.969380282331</v>
      </c>
      <c r="AF52" s="39">
        <f t="shared" si="11"/>
        <v>-98153.402456681477</v>
      </c>
      <c r="AG52" s="39">
        <f t="shared" si="12"/>
        <v>97667.948501452804</v>
      </c>
      <c r="AH52" s="39">
        <f t="shared" si="13"/>
        <v>868491.41785239056</v>
      </c>
    </row>
    <row r="53" spans="1:34" ht="18" customHeight="1" x14ac:dyDescent="0.2">
      <c r="A53" s="63">
        <v>48</v>
      </c>
      <c r="B53" s="64">
        <v>2074</v>
      </c>
      <c r="C53" s="63">
        <v>84</v>
      </c>
      <c r="D53" s="65" t="s">
        <v>327</v>
      </c>
      <c r="E53" s="45">
        <f>ASSUMPTIONS!$B$21*(1+ASSUMPTIONS!$B$23)^40*12+ASSUMPTIONS!$B$48*(1+ASSUMPTIONS!$B$51)^34</f>
        <v>1004267.1074493863</v>
      </c>
      <c r="F53" s="45">
        <f>ASSUMPTIONS!$B$33*(1+ASSUMPTIONS!$B$34)^40*12</f>
        <v>20008.500042675645</v>
      </c>
      <c r="G53" s="45">
        <f>MAX((E53-F53)*(ASSUMPTIONS!$B$66+ASSUMPTIONS!$B$67),0)</f>
        <v>305120.16829608032</v>
      </c>
      <c r="H53" s="45">
        <f>ASSUMPTIONS!$B$26*(1+ASSUMPTIONS!$B$27)^40</f>
        <v>593.69087814383113</v>
      </c>
      <c r="I53" s="45">
        <f>ASSUMPTIONS!$B$70*12*(1+ASSUMPTIONS!$B$71)^48</f>
        <v>118702.4063233262</v>
      </c>
      <c r="J53" s="45">
        <f>ASSUMPTIONS!$B$61*12</f>
        <v>6000</v>
      </c>
      <c r="K53" s="45">
        <f t="shared" si="7"/>
        <v>593859.34199451155</v>
      </c>
      <c r="L53" s="45">
        <f>L52*(1+ASSUMPTIONS!$B$59)+J53+MAX(K53,0)*0.2</f>
        <v>20029445.681433585</v>
      </c>
      <c r="M53" s="66" t="s">
        <v>446</v>
      </c>
      <c r="N53" s="40">
        <f>ASSUMPTIONS!$C$47*(1+ASSUMPTIONS!$B$51)^46</f>
        <v>1063093.9740259761</v>
      </c>
      <c r="O53" s="40">
        <f>ASSUMPTIONS!$C$33*(1+ASSUMPTIONS!$C$34)^46*12</f>
        <v>23614.199093138584</v>
      </c>
      <c r="P53" s="40">
        <f>MAX((N53-O53)*(ASSUMPTIONS!$C$65+ASSUMPTIONS!$C$67),0)</f>
        <v>301449.13473052293</v>
      </c>
      <c r="Q53" s="40">
        <f>ASSUMPTIONS!$C$28*(1+ASSUMPTIONS!$C$29)^46</f>
        <v>103422.25602455012</v>
      </c>
      <c r="R53" s="40">
        <f>ASSUMPTIONS!$B$70*12*(1+ASSUMPTIONS!$B$71)^48</f>
        <v>118702.4063233262</v>
      </c>
      <c r="S53" s="40">
        <f>ASSUMPTIONS!$C$61*12</f>
        <v>6000</v>
      </c>
      <c r="T53" s="40">
        <f t="shared" si="8"/>
        <v>557134.37604071537</v>
      </c>
      <c r="U53" s="40">
        <f>U52*(1+ASSUMPTIONS!$C$59)+S53+MAX(T53,0)*0.2</f>
        <v>19917595.983346272</v>
      </c>
      <c r="V53" s="67" t="s">
        <v>327</v>
      </c>
      <c r="W53" s="68">
        <f>ASSUMPTIONS!$D$48*(1+ASSUMPTIONS!$B$51)^40</f>
        <v>1104234.7444254316</v>
      </c>
      <c r="X53" s="68">
        <f>ASSUMPTIONS!$D$33*(1+ASSUMPTIONS!$D$34)^46*12</f>
        <v>23614.199093138584</v>
      </c>
      <c r="Y53" s="68">
        <f>MAX((W53-X53)*(ASSUMPTIONS!$D$66+ASSUMPTIONS!$D$67),0)</f>
        <v>334992.36905301083</v>
      </c>
      <c r="Z53" s="68">
        <f>ASSUMPTIONS!$D$28*(1+ASSUMPTIONS!$D$29)^46</f>
        <v>0</v>
      </c>
      <c r="AA53" s="68">
        <f>ASSUMPTIONS!$B$70*12*(1+ASSUMPTIONS!$B$71)^48</f>
        <v>118702.4063233262</v>
      </c>
      <c r="AB53" s="68">
        <f>ASSUMPTIONS!$D$61*12</f>
        <v>6000</v>
      </c>
      <c r="AC53" s="68">
        <f t="shared" si="9"/>
        <v>668154.16814223316</v>
      </c>
      <c r="AD53" s="68">
        <f>AD52*(1+ASSUMPTIONS!$D$59)+AB53+MAX(AC53,0)*0.2</f>
        <v>19115018.829561073</v>
      </c>
      <c r="AE53" s="69">
        <f t="shared" si="10"/>
        <v>-62432.565627052798</v>
      </c>
      <c r="AF53" s="69">
        <f t="shared" si="11"/>
        <v>-103573.33602650824</v>
      </c>
      <c r="AG53" s="69">
        <f t="shared" si="12"/>
        <v>111849.69808731228</v>
      </c>
      <c r="AH53" s="69">
        <f t="shared" si="13"/>
        <v>914426.85187251121</v>
      </c>
    </row>
    <row r="54" spans="1:34" ht="18" customHeight="1" x14ac:dyDescent="0.2">
      <c r="A54" s="63">
        <v>49</v>
      </c>
      <c r="B54" s="64">
        <v>2075</v>
      </c>
      <c r="C54" s="63">
        <v>85</v>
      </c>
      <c r="D54" s="70" t="s">
        <v>327</v>
      </c>
      <c r="E54" s="39">
        <f>ASSUMPTIONS!$B$21*(1+ASSUMPTIONS!$B$23)^41*12+ASSUMPTIONS!$B$48*(1+ASSUMPTIONS!$B$51)^35</f>
        <v>1042858.899557993</v>
      </c>
      <c r="F54" s="39">
        <f>ASSUMPTIONS!$B$33*(1+ASSUMPTIONS!$B$34)^41*12</f>
        <v>20568.738043870566</v>
      </c>
      <c r="G54" s="39">
        <f>MAX((E54-F54)*(ASSUMPTIONS!$B$66+ASSUMPTIONS!$B$67),0)</f>
        <v>316909.95006937796</v>
      </c>
      <c r="H54" s="39">
        <f>ASSUMPTIONS!$B$26*(1+ASSUMPTIONS!$B$27)^41</f>
        <v>611.50160448814609</v>
      </c>
      <c r="I54" s="39">
        <f>ASSUMPTIONS!$B$70*12*(1+ASSUMPTIONS!$B$71)^49</f>
        <v>122263.47851302597</v>
      </c>
      <c r="J54" s="39">
        <f>ASSUMPTIONS!$B$61*12</f>
        <v>6000</v>
      </c>
      <c r="K54" s="39">
        <f t="shared" si="7"/>
        <v>617642.70741497166</v>
      </c>
      <c r="L54" s="39">
        <f>L53*(1+ASSUMPTIONS!$B$59)+J54+MAX(K54,0)*0.2</f>
        <v>21561035.420616932</v>
      </c>
      <c r="M54" s="70" t="s">
        <v>446</v>
      </c>
      <c r="N54" s="39">
        <f>ASSUMPTIONS!$C$47*(1+ASSUMPTIONS!$B$51)^47</f>
        <v>1105617.7329870153</v>
      </c>
      <c r="O54" s="39">
        <f>ASSUMPTIONS!$C$33*(1+ASSUMPTIONS!$C$34)^47*12</f>
        <v>24275.396667746467</v>
      </c>
      <c r="P54" s="39">
        <f>MAX((N54-O54)*(ASSUMPTIONS!$C$65+ASSUMPTIONS!$C$67),0)</f>
        <v>313589.27753258805</v>
      </c>
      <c r="Q54" s="39">
        <f>ASSUMPTIONS!$C$28*(1+ASSUMPTIONS!$C$29)^47</f>
        <v>111696.03650651414</v>
      </c>
      <c r="R54" s="39">
        <f>ASSUMPTIONS!$B$70*12*(1+ASSUMPTIONS!$B$71)^49</f>
        <v>122263.47851302597</v>
      </c>
      <c r="S54" s="39">
        <f>ASSUMPTIONS!$C$61*12</f>
        <v>6000</v>
      </c>
      <c r="T54" s="39">
        <f t="shared" si="8"/>
        <v>576344.33710263344</v>
      </c>
      <c r="U54" s="39">
        <f>U53*(1+ASSUMPTIONS!$C$59)+S54+MAX(T54,0)*0.2</f>
        <v>21433096.56960104</v>
      </c>
      <c r="V54" s="70" t="s">
        <v>327</v>
      </c>
      <c r="W54" s="39">
        <f>ASSUMPTIONS!$D$48*(1+ASSUMPTIONS!$B$51)^41</f>
        <v>1148404.1342024489</v>
      </c>
      <c r="X54" s="39">
        <f>ASSUMPTIONS!$D$33*(1+ASSUMPTIONS!$D$34)^47*12</f>
        <v>24275.396667746467</v>
      </c>
      <c r="Y54" s="39">
        <f>MAX((W54-X54)*(ASSUMPTIONS!$D$66+ASSUMPTIONS!$D$67),0)</f>
        <v>348479.90863575781</v>
      </c>
      <c r="Z54" s="39">
        <f>ASSUMPTIONS!$D$28*(1+ASSUMPTIONS!$D$29)^47</f>
        <v>0</v>
      </c>
      <c r="AA54" s="39">
        <f>ASSUMPTIONS!$B$70*12*(1+ASSUMPTIONS!$B$71)^49</f>
        <v>122263.47851302597</v>
      </c>
      <c r="AB54" s="39">
        <f>ASSUMPTIONS!$D$61*12</f>
        <v>6000</v>
      </c>
      <c r="AC54" s="39">
        <f t="shared" si="9"/>
        <v>695936.14372141147</v>
      </c>
      <c r="AD54" s="39">
        <f>AD53*(1+ASSUMPTIONS!$D$59)+AB54+MAX(AC54,0)*0.2</f>
        <v>20598257.376374632</v>
      </c>
      <c r="AE54" s="39">
        <f t="shared" si="10"/>
        <v>-66465.492052898044</v>
      </c>
      <c r="AF54" s="39">
        <f t="shared" si="11"/>
        <v>-109251.89326833165</v>
      </c>
      <c r="AG54" s="39">
        <f t="shared" si="12"/>
        <v>127938.85101589188</v>
      </c>
      <c r="AH54" s="39">
        <f t="shared" si="13"/>
        <v>962778.04424230009</v>
      </c>
    </row>
    <row r="55" spans="1:34" ht="18" customHeight="1" x14ac:dyDescent="0.2">
      <c r="A55" s="63">
        <v>50</v>
      </c>
      <c r="B55" s="64">
        <v>2076</v>
      </c>
      <c r="C55" s="63">
        <v>86</v>
      </c>
      <c r="D55" s="65" t="s">
        <v>327</v>
      </c>
      <c r="E55" s="45">
        <f>ASSUMPTIONS!$B$21*(1+ASSUMPTIONS!$B$23)^42*12+ASSUMPTIONS!$B$48*(1+ASSUMPTIONS!$B$51)^36</f>
        <v>1082950.1543696418</v>
      </c>
      <c r="F55" s="45">
        <f>ASSUMPTIONS!$B$33*(1+ASSUMPTIONS!$B$34)^42*12</f>
        <v>21144.662709098939</v>
      </c>
      <c r="G55" s="45">
        <f>MAX((E55-F55)*(ASSUMPTIONS!$B$66+ASSUMPTIONS!$B$67),0)</f>
        <v>329159.70241476828</v>
      </c>
      <c r="H55" s="45">
        <f>ASSUMPTIONS!$B$26*(1+ASSUMPTIONS!$B$27)^42</f>
        <v>629.84665262279054</v>
      </c>
      <c r="I55" s="45">
        <f>ASSUMPTIONS!$B$70*12*(1+ASSUMPTIONS!$B$71)^50</f>
        <v>125931.38286841675</v>
      </c>
      <c r="J55" s="45">
        <f>ASSUMPTIONS!$B$61*12</f>
        <v>6000</v>
      </c>
      <c r="K55" s="45">
        <f t="shared" si="7"/>
        <v>642373.885142933</v>
      </c>
      <c r="L55" s="45">
        <f>L54*(1+ASSUMPTIONS!$B$59)+J55+MAX(K55,0)*0.2</f>
        <v>23204782.677088704</v>
      </c>
      <c r="M55" s="66" t="s">
        <v>446</v>
      </c>
      <c r="N55" s="40">
        <f>ASSUMPTIONS!$C$47*(1+ASSUMPTIONS!$B$51)^48</f>
        <v>1149842.442306496</v>
      </c>
      <c r="O55" s="40">
        <f>ASSUMPTIONS!$C$33*(1+ASSUMPTIONS!$C$34)^48*12</f>
        <v>24955.107774443364</v>
      </c>
      <c r="P55" s="40">
        <f>MAX((N55-O55)*(ASSUMPTIONS!$C$65+ASSUMPTIONS!$C$67),0)</f>
        <v>326217.32701429527</v>
      </c>
      <c r="Q55" s="40">
        <f>ASSUMPTIONS!$C$28*(1+ASSUMPTIONS!$C$29)^48</f>
        <v>120631.71942703525</v>
      </c>
      <c r="R55" s="40">
        <f>ASSUMPTIONS!$B$70*12*(1+ASSUMPTIONS!$B$71)^50</f>
        <v>125931.38286841675</v>
      </c>
      <c r="S55" s="40">
        <f>ASSUMPTIONS!$C$61*12</f>
        <v>6000</v>
      </c>
      <c r="T55" s="40">
        <f t="shared" si="8"/>
        <v>596017.12077119213</v>
      </c>
      <c r="U55" s="40">
        <f>U54*(1+ASSUMPTIONS!$C$59)+S55+MAX(T55,0)*0.2</f>
        <v>23058616.753627352</v>
      </c>
      <c r="V55" s="67" t="s">
        <v>327</v>
      </c>
      <c r="W55" s="68">
        <f>ASSUMPTIONS!$D$48*(1+ASSUMPTIONS!$B$51)^42</f>
        <v>1194340.2995705467</v>
      </c>
      <c r="X55" s="68">
        <f>ASSUMPTIONS!$D$33*(1+ASSUMPTIONS!$D$34)^48*12</f>
        <v>24955.107774443364</v>
      </c>
      <c r="Y55" s="68">
        <f>MAX((W55-X55)*(ASSUMPTIONS!$D$66+ASSUMPTIONS!$D$67),0)</f>
        <v>362509.409456792</v>
      </c>
      <c r="Z55" s="68">
        <f>ASSUMPTIONS!$D$28*(1+ASSUMPTIONS!$D$29)^48</f>
        <v>0</v>
      </c>
      <c r="AA55" s="68">
        <f>ASSUMPTIONS!$B$70*12*(1+ASSUMPTIONS!$B$71)^50</f>
        <v>125931.38286841675</v>
      </c>
      <c r="AB55" s="68">
        <f>ASSUMPTIONS!$D$61*12</f>
        <v>6000</v>
      </c>
      <c r="AC55" s="68">
        <f t="shared" si="9"/>
        <v>724854.6150197814</v>
      </c>
      <c r="AD55" s="68">
        <f>AD54*(1+ASSUMPTIONS!$D$59)+AB55+MAX(AC55,0)*0.2</f>
        <v>22191106.315724816</v>
      </c>
      <c r="AE55" s="69">
        <f t="shared" si="10"/>
        <v>-70702.733002198627</v>
      </c>
      <c r="AF55" s="69">
        <f t="shared" si="11"/>
        <v>-115200.59026624938</v>
      </c>
      <c r="AG55" s="69">
        <f t="shared" si="12"/>
        <v>146165.92346135154</v>
      </c>
      <c r="AH55" s="69">
        <f t="shared" si="13"/>
        <v>1013676.3613638878</v>
      </c>
    </row>
    <row r="57" spans="1:34" ht="15.75" customHeight="1" x14ac:dyDescent="0.2">
      <c r="A57" s="80" t="s">
        <v>452</v>
      </c>
      <c r="B57" s="81"/>
      <c r="C57" s="81"/>
      <c r="D57" s="81"/>
      <c r="E57" s="82" t="str">
        <f>"Mil raise: "&amp;TEXT(ASSUMPTIONS!$B$52,"0.0%")</f>
        <v>Mil raise: 2.5%</v>
      </c>
      <c r="F57" s="81"/>
      <c r="G57" s="82" t="str">
        <f>"Fed tax (mil): "&amp;TEXT(ASSUMPTIONS!$B$64,"0.0%")&amp;" + CA: "&amp;TEXT(ASSUMPTIONS!$B$67,"0.0%")</f>
        <v>Fed tax (mil): 12.0% + CA: 7.0%</v>
      </c>
      <c r="H57" s="81"/>
      <c r="I57" s="82" t="str">
        <f>"Exp growth: "&amp;TEXT(ASSUMPTIONS!$B$71,"0.0%")&amp;"/yr"</f>
        <v>Exp growth: 3.0%/yr</v>
      </c>
      <c r="J57" s="81"/>
      <c r="K57" s="81"/>
      <c r="L57" s="82" t="str">
        <f>"Return: "&amp;TEXT(ASSUMPTIONS!$B$59,"0.0%")&amp;"/yr | Start: "&amp;TEXT(ASSUMPTIONS!$B$58,"$#,##0")</f>
        <v>Return: 7.0%/yr | Start: $183,000</v>
      </c>
      <c r="M57" s="81"/>
      <c r="N57" s="82" t="str">
        <f>"CS growth: "&amp;TEXT(ASSUMPTIONS!$B$51,"0.0%")</f>
        <v>CS growth: 4.0%</v>
      </c>
      <c r="O57" s="81"/>
      <c r="P57" s="82" t="str">
        <f>"Fed tax (civ): "&amp;TEXT(ASSUMPTIONS!$C$65,"0.0%")&amp;" + CA: "&amp;TEXT(ASSUMPTIONS!$C$67,"0.0%")</f>
        <v>Fed tax (civ): 22.0% + CA: 7.0%</v>
      </c>
      <c r="Q57" s="81"/>
      <c r="R57" s="82" t="str">
        <f>"Exp growth: "&amp;TEXT(ASSUMPTIONS!$B$71,"0.0%")&amp;"/yr"</f>
        <v>Exp growth: 3.0%/yr</v>
      </c>
      <c r="S57" s="81"/>
      <c r="T57" s="81"/>
      <c r="U57" s="82" t="str">
        <f>"Return: "&amp;TEXT(ASSUMPTIONS!$C$59,"0.0%")&amp;"/yr"</f>
        <v>Return: 7.0%/yr</v>
      </c>
      <c r="V57" s="81"/>
      <c r="W57" s="82" t="str">
        <f>"Salary growth: "&amp;TEXT(ASSUMPTIONS!$B$51,"0.0%")</f>
        <v>Salary growth: 4.0%</v>
      </c>
      <c r="X57" s="81"/>
      <c r="Y57" s="82" t="str">
        <f>"Fed tax (civ): "&amp;TEXT(ASSUMPTIONS!$D$65,"0.0%")&amp;" + CA: "&amp;TEXT(ASSUMPTIONS!$D$67,"0.0%")</f>
        <v>Fed tax (civ): 22.0% + CA: 7.0%</v>
      </c>
      <c r="Z57" s="81"/>
      <c r="AA57" s="82" t="str">
        <f>"Exp growth: "&amp;TEXT(ASSUMPTIONS!$B$71,"0.0%")&amp;"/yr"</f>
        <v>Exp growth: 3.0%/yr</v>
      </c>
      <c r="AB57" s="81"/>
      <c r="AC57" s="81"/>
      <c r="AD57" s="82" t="str">
        <f>"Return: "&amp;TEXT(ASSUMPTIONS!$D$59,"0.0%")&amp;"/yr"</f>
        <v>Return: 7.0%/yr</v>
      </c>
      <c r="AE57" s="81"/>
      <c r="AF57" s="81"/>
      <c r="AG57" s="81"/>
      <c r="AH57" s="81"/>
    </row>
    <row r="58" spans="1:34" ht="21.75" customHeight="1" x14ac:dyDescent="0.2">
      <c r="A58" s="196" t="s">
        <v>453</v>
      </c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8"/>
    </row>
    <row r="59" spans="1:34" ht="18.75" customHeight="1" x14ac:dyDescent="0.2">
      <c r="A59" s="188" t="s">
        <v>454</v>
      </c>
      <c r="B59" s="177"/>
      <c r="C59" s="178"/>
      <c r="D59" s="84"/>
      <c r="E59" s="45">
        <f>SUM(E5:E55)</f>
        <v>23189290.747431155</v>
      </c>
      <c r="N59" s="45">
        <f>SUM(N5:N55)</f>
        <v>25656780.837968871</v>
      </c>
      <c r="W59" s="45">
        <f>SUM(W5:W55)</f>
        <v>25673725.126834188</v>
      </c>
    </row>
    <row r="60" spans="1:34" ht="18.75" customHeight="1" x14ac:dyDescent="0.2">
      <c r="A60" s="189" t="s">
        <v>455</v>
      </c>
      <c r="B60" s="177"/>
      <c r="C60" s="178"/>
      <c r="D60" s="86"/>
      <c r="E60" s="39">
        <f>SUM(F5:F55)</f>
        <v>1211803.7645697487</v>
      </c>
      <c r="N60" s="39">
        <f>SUM(O5:O55)</f>
        <v>757649.53771884902</v>
      </c>
      <c r="W60" s="39">
        <f>SUM(X5:X55)</f>
        <v>1062169.537718849</v>
      </c>
    </row>
    <row r="61" spans="1:34" ht="18.75" customHeight="1" x14ac:dyDescent="0.2">
      <c r="A61" s="188" t="s">
        <v>456</v>
      </c>
      <c r="B61" s="177"/>
      <c r="C61" s="178"/>
      <c r="D61" s="84"/>
      <c r="E61" s="45">
        <f>SUM(G5:G55)</f>
        <v>6763165.4922827873</v>
      </c>
      <c r="N61" s="45">
        <f>SUM(P5:P55)</f>
        <v>7214981.6870725071</v>
      </c>
      <c r="W61" s="45">
        <f>SUM(Y5:Y55)</f>
        <v>7680940.9838550771</v>
      </c>
    </row>
    <row r="62" spans="1:34" ht="18.75" customHeight="1" x14ac:dyDescent="0.2">
      <c r="A62" s="189" t="s">
        <v>457</v>
      </c>
      <c r="B62" s="177"/>
      <c r="C62" s="178"/>
      <c r="D62" s="86"/>
      <c r="E62" s="39">
        <f>SUM(H5:H55)</f>
        <v>15421.568406715816</v>
      </c>
      <c r="N62" s="39">
        <f>SUM(Q5:Q55)</f>
        <v>1591028.2122649751</v>
      </c>
      <c r="W62" s="39">
        <f>SUM(Z5:Z55)</f>
        <v>3000</v>
      </c>
    </row>
    <row r="63" spans="1:34" ht="18.75" customHeight="1" x14ac:dyDescent="0.2">
      <c r="A63" s="202" t="s">
        <v>458</v>
      </c>
      <c r="B63" s="177"/>
      <c r="C63" s="178"/>
      <c r="D63" s="84"/>
      <c r="E63" s="47">
        <f>L55</f>
        <v>23204782.677088704</v>
      </c>
      <c r="N63" s="47">
        <f>U55</f>
        <v>23058616.753627352</v>
      </c>
      <c r="W63" s="47">
        <f>AD55</f>
        <v>22191106.315724816</v>
      </c>
    </row>
    <row r="64" spans="1:34" ht="18.75" customHeight="1" x14ac:dyDescent="0.2">
      <c r="A64" s="189" t="s">
        <v>459</v>
      </c>
      <c r="B64" s="177"/>
      <c r="C64" s="178"/>
      <c r="D64" s="86"/>
      <c r="E64" s="39">
        <f>IF(ASSUMPTIONS!$B$23&gt;0,ASSUMPTIONS!$B$21*((1+ASSUMPTIONS!$B$23)^42-1)/ASSUMPTIONS!$B$23,ASSUMPTIONS!$B$21*42)</f>
        <v>284076.38974447892</v>
      </c>
      <c r="N64" s="87" t="s">
        <v>18</v>
      </c>
      <c r="W64" s="87" t="s">
        <v>18</v>
      </c>
    </row>
    <row r="65" spans="1:35" ht="18.75" customHeight="1" x14ac:dyDescent="0.2">
      <c r="A65" s="188" t="s">
        <v>460</v>
      </c>
      <c r="B65" s="177"/>
      <c r="C65" s="178"/>
      <c r="D65" s="84"/>
      <c r="N65" s="84"/>
      <c r="W65" s="84"/>
      <c r="AE65" s="45">
        <f>L55-U55</f>
        <v>146165.92346135154</v>
      </c>
    </row>
    <row r="66" spans="1:35" ht="18.75" customHeight="1" x14ac:dyDescent="0.2">
      <c r="A66" s="189" t="s">
        <v>461</v>
      </c>
      <c r="B66" s="177"/>
      <c r="C66" s="178"/>
      <c r="D66" s="86"/>
      <c r="N66" s="86"/>
      <c r="W66" s="86"/>
      <c r="AE66" s="39">
        <f>L55-AD55</f>
        <v>1013676.3613638878</v>
      </c>
    </row>
    <row r="67" spans="1:35" ht="4.5" customHeight="1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</row>
    <row r="68" spans="1:35" ht="6" customHeight="1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ht="24" customHeight="1" x14ac:dyDescent="0.2">
      <c r="A69" s="201" t="s">
        <v>462</v>
      </c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</row>
    <row r="70" spans="1:35" ht="25.5" customHeight="1" x14ac:dyDescent="0.2">
      <c r="A70" s="191" t="s">
        <v>463</v>
      </c>
      <c r="B70" s="173"/>
      <c r="C70" s="173"/>
      <c r="D70" s="89">
        <v>0</v>
      </c>
      <c r="E70" s="204" t="str">
        <f>IF(D70=0,"Year 0 — 2026  (Current, Age 36)","Year "&amp;D70&amp;" — "&amp;TEXT(2026+D70,"0")&amp;"  (Age "&amp;TEXT(36+D70,"0")&amp;")")</f>
        <v>Year 0 — 2026  (Current, Age 36)</v>
      </c>
      <c r="F70" s="173"/>
      <c r="G70" s="173"/>
      <c r="H70" s="173"/>
      <c r="I70" s="173"/>
      <c r="J70" s="173"/>
      <c r="K70" s="173"/>
      <c r="L70" s="173"/>
      <c r="M70" s="173"/>
      <c r="N70" s="173"/>
    </row>
    <row r="71" spans="1:35" ht="3.75" customHeight="1" x14ac:dyDescent="0.2"/>
    <row r="72" spans="1:35" ht="36" customHeight="1" x14ac:dyDescent="0.2">
      <c r="A72" s="62" t="s">
        <v>273</v>
      </c>
      <c r="B72" s="200" t="s">
        <v>464</v>
      </c>
      <c r="C72" s="178"/>
      <c r="D72" s="200" t="s">
        <v>465</v>
      </c>
      <c r="E72" s="178"/>
      <c r="F72" s="203" t="s">
        <v>466</v>
      </c>
      <c r="G72" s="178"/>
      <c r="H72" s="203" t="s">
        <v>467</v>
      </c>
      <c r="I72" s="178"/>
      <c r="J72" s="192" t="s">
        <v>468</v>
      </c>
      <c r="K72" s="178"/>
      <c r="L72" s="192" t="s">
        <v>469</v>
      </c>
      <c r="M72" s="178"/>
      <c r="N72" s="199" t="s">
        <v>470</v>
      </c>
      <c r="O72" s="177"/>
      <c r="P72" s="178"/>
    </row>
    <row r="73" spans="1:35" ht="21.75" customHeight="1" x14ac:dyDescent="0.2">
      <c r="A73" s="180" t="s">
        <v>471</v>
      </c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</row>
    <row r="74" spans="1:35" ht="18" customHeight="1" x14ac:dyDescent="0.2">
      <c r="A74" s="93" t="s">
        <v>472</v>
      </c>
      <c r="B74" s="65" t="str">
        <f>IFERROR(INDEX(D$5:D$55,D70+1),"—")</f>
        <v>Active Duty</v>
      </c>
      <c r="C74" s="187" t="s">
        <v>473</v>
      </c>
      <c r="D74" s="178"/>
      <c r="F74" s="66" t="str">
        <f>IFERROR(INDEX(M$5:M$55,D70+1),"—")</f>
        <v>Active Duty</v>
      </c>
      <c r="G74" s="187" t="s">
        <v>474</v>
      </c>
      <c r="H74" s="178"/>
      <c r="J74" s="67" t="str">
        <f>IFERROR(INDEX(V$5:V$55,D70+1),"—")</f>
        <v>Active Duty</v>
      </c>
      <c r="K74" s="187" t="s">
        <v>475</v>
      </c>
      <c r="L74" s="178"/>
      <c r="N74" s="190" t="s">
        <v>476</v>
      </c>
      <c r="O74" s="177"/>
      <c r="P74" s="178"/>
    </row>
    <row r="75" spans="1:35" ht="21.75" customHeight="1" x14ac:dyDescent="0.2">
      <c r="A75" s="180" t="s">
        <v>477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</row>
    <row r="76" spans="1:35" ht="18" customHeight="1" x14ac:dyDescent="0.2">
      <c r="A76" s="93" t="s">
        <v>478</v>
      </c>
      <c r="B76" s="45">
        <f>IFERROR(INDEX(E$5:E$55,D70+1),0)</f>
        <v>67099.92</v>
      </c>
      <c r="C76" s="187" t="s">
        <v>479</v>
      </c>
      <c r="D76" s="178"/>
      <c r="F76" s="40">
        <f>IFERROR(INDEX(N$5:N$55,D70+1),0)</f>
        <v>67099.92</v>
      </c>
      <c r="G76" s="187" t="s">
        <v>480</v>
      </c>
      <c r="H76" s="178"/>
      <c r="J76" s="68">
        <f>IFERROR(INDEX(W$5:W$55,D70+1),0)</f>
        <v>67099.92</v>
      </c>
      <c r="K76" s="187" t="s">
        <v>481</v>
      </c>
      <c r="L76" s="178"/>
      <c r="N76" s="190" t="s">
        <v>482</v>
      </c>
      <c r="O76" s="177"/>
      <c r="P76" s="178"/>
    </row>
    <row r="77" spans="1:35" ht="18" customHeight="1" x14ac:dyDescent="0.2">
      <c r="A77" s="93" t="s">
        <v>483</v>
      </c>
      <c r="B77" s="45">
        <f>IFERROR(INDEX(F$5:F$55,D70+1),0)</f>
        <v>38623.919999999998</v>
      </c>
      <c r="C77" s="187" t="s">
        <v>484</v>
      </c>
      <c r="D77" s="178"/>
      <c r="F77" s="40">
        <f>IFERROR(INDEX(O$5:O$55,D70+1),0)</f>
        <v>38623.919999999998</v>
      </c>
      <c r="G77" s="187" t="s">
        <v>485</v>
      </c>
      <c r="H77" s="178"/>
      <c r="J77" s="68">
        <f>IFERROR(INDEX(X$5:X$55,D70+1),0)</f>
        <v>38623.919999999998</v>
      </c>
      <c r="K77" s="187" t="s">
        <v>486</v>
      </c>
      <c r="L77" s="178"/>
      <c r="N77" s="190" t="s">
        <v>487</v>
      </c>
      <c r="O77" s="177"/>
      <c r="P77" s="178"/>
    </row>
    <row r="78" spans="1:35" ht="21.75" customHeight="1" x14ac:dyDescent="0.2">
      <c r="A78" s="180" t="s">
        <v>488</v>
      </c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</row>
    <row r="79" spans="1:35" ht="18" customHeight="1" x14ac:dyDescent="0.2">
      <c r="A79" s="93" t="s">
        <v>489</v>
      </c>
      <c r="B79" s="45">
        <f>IFERROR(INDEX(G$5:G$55,D70+1),0)</f>
        <v>5410.4400000000005</v>
      </c>
      <c r="C79" s="187" t="s">
        <v>490</v>
      </c>
      <c r="D79" s="178"/>
      <c r="F79" s="40">
        <f>IFERROR(INDEX(P$5:P$55,D70+1),0)</f>
        <v>5410.4400000000005</v>
      </c>
      <c r="G79" s="187" t="s">
        <v>491</v>
      </c>
      <c r="H79" s="178"/>
      <c r="J79" s="68">
        <f>IFERROR(INDEX(Y$5:Y$55,D70+1),0)</f>
        <v>5410.4400000000005</v>
      </c>
      <c r="K79" s="187" t="s">
        <v>492</v>
      </c>
      <c r="L79" s="178"/>
      <c r="N79" s="190" t="s">
        <v>493</v>
      </c>
      <c r="O79" s="177"/>
      <c r="P79" s="178"/>
    </row>
    <row r="80" spans="1:35" ht="18" customHeight="1" x14ac:dyDescent="0.2">
      <c r="A80" s="93" t="s">
        <v>494</v>
      </c>
      <c r="B80" s="45">
        <f>IFERROR(INDEX(H$5:H$55,D70+1),0)</f>
        <v>0</v>
      </c>
      <c r="C80" s="187" t="s">
        <v>495</v>
      </c>
      <c r="D80" s="178"/>
      <c r="F80" s="40">
        <f>IFERROR(INDEX(Q$5:Q$55,D70+1),0)</f>
        <v>0</v>
      </c>
      <c r="G80" s="187" t="s">
        <v>496</v>
      </c>
      <c r="H80" s="178"/>
      <c r="J80" s="68">
        <f>IFERROR(INDEX(Z$5:Z$55,D70+1),0)</f>
        <v>0</v>
      </c>
      <c r="K80" s="187" t="s">
        <v>497</v>
      </c>
      <c r="L80" s="178"/>
      <c r="N80" s="190" t="s">
        <v>498</v>
      </c>
      <c r="O80" s="177"/>
      <c r="P80" s="178"/>
    </row>
    <row r="81" spans="1:35" ht="18" customHeight="1" x14ac:dyDescent="0.2">
      <c r="A81" s="93" t="s">
        <v>499</v>
      </c>
      <c r="B81" s="45">
        <f>IFERROR(INDEX(I$5:I$55,D70+1),0)</f>
        <v>28725.839999999997</v>
      </c>
      <c r="C81" s="187" t="s">
        <v>500</v>
      </c>
      <c r="D81" s="178"/>
      <c r="F81" s="40">
        <f>IFERROR(INDEX(R$5:R$55,D70+1),0)</f>
        <v>28725.839999999997</v>
      </c>
      <c r="G81" s="187" t="s">
        <v>501</v>
      </c>
      <c r="H81" s="178"/>
      <c r="J81" s="68">
        <f>IFERROR(INDEX(AA$5:AA$55,D70+1),0)</f>
        <v>28725.839999999997</v>
      </c>
      <c r="K81" s="187" t="s">
        <v>501</v>
      </c>
      <c r="L81" s="178"/>
      <c r="N81" s="190" t="s">
        <v>502</v>
      </c>
      <c r="O81" s="177"/>
      <c r="P81" s="178"/>
    </row>
    <row r="82" spans="1:35" ht="21.75" customHeight="1" x14ac:dyDescent="0.2">
      <c r="A82" s="180" t="s">
        <v>503</v>
      </c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</row>
    <row r="83" spans="1:35" ht="18" customHeight="1" x14ac:dyDescent="0.2">
      <c r="A83" s="93" t="s">
        <v>504</v>
      </c>
      <c r="B83" s="45">
        <f>IFERROR(INDEX(J$5:J$55,D70+1),0)</f>
        <v>22800</v>
      </c>
      <c r="C83" s="187" t="s">
        <v>505</v>
      </c>
      <c r="D83" s="178"/>
      <c r="F83" s="40">
        <f>IFERROR(INDEX(S$5:S$55,D70+1),0)</f>
        <v>22800</v>
      </c>
      <c r="G83" s="187" t="s">
        <v>506</v>
      </c>
      <c r="H83" s="178"/>
      <c r="J83" s="68">
        <f>IFERROR(INDEX(AB$5:AB$55,D70+1),0)</f>
        <v>22800</v>
      </c>
      <c r="K83" s="187" t="s">
        <v>507</v>
      </c>
      <c r="L83" s="178"/>
      <c r="N83" s="190" t="s">
        <v>508</v>
      </c>
      <c r="O83" s="177"/>
      <c r="P83" s="178"/>
    </row>
    <row r="84" spans="1:35" ht="18" customHeight="1" x14ac:dyDescent="0.2">
      <c r="A84" s="93" t="s">
        <v>509</v>
      </c>
      <c r="B84" s="45">
        <f>IFERROR(INDEX(K$5:K$55,D70+1),0)</f>
        <v>48787.56</v>
      </c>
      <c r="C84" s="187" t="s">
        <v>510</v>
      </c>
      <c r="D84" s="178"/>
      <c r="F84" s="40">
        <f>IFERROR(INDEX(T$5:T$55,D70+1),0)</f>
        <v>48787.56</v>
      </c>
      <c r="G84" s="187" t="s">
        <v>511</v>
      </c>
      <c r="H84" s="178"/>
      <c r="J84" s="68">
        <f>IFERROR(INDEX(AC$5:AC$55,D70+1),0)</f>
        <v>48787.56</v>
      </c>
      <c r="K84" s="187" t="s">
        <v>512</v>
      </c>
      <c r="L84" s="178"/>
      <c r="N84" s="190" t="s">
        <v>513</v>
      </c>
      <c r="O84" s="177"/>
      <c r="P84" s="178"/>
    </row>
    <row r="85" spans="1:35" ht="18" customHeight="1" x14ac:dyDescent="0.2">
      <c r="A85" s="93" t="s">
        <v>514</v>
      </c>
      <c r="B85" s="45">
        <f>IFERROR(INDEX(L$5:L$55,D70+1),0)</f>
        <v>228367.51199999999</v>
      </c>
      <c r="C85" s="187" t="s">
        <v>515</v>
      </c>
      <c r="D85" s="178"/>
      <c r="F85" s="40">
        <f>IFERROR(INDEX(U$5:U$55,D70+1),0)</f>
        <v>228367.51199999999</v>
      </c>
      <c r="G85" s="187" t="s">
        <v>516</v>
      </c>
      <c r="H85" s="178"/>
      <c r="J85" s="68">
        <f>IFERROR(INDEX(AD$5:AD$55,D70+1),0)</f>
        <v>228367.51199999999</v>
      </c>
      <c r="K85" s="187" t="s">
        <v>517</v>
      </c>
      <c r="L85" s="178"/>
      <c r="N85" s="190" t="s">
        <v>518</v>
      </c>
      <c r="O85" s="177"/>
      <c r="P85" s="178"/>
    </row>
    <row r="86" spans="1:35" ht="21.75" customHeight="1" x14ac:dyDescent="0.2">
      <c r="A86" s="180" t="s">
        <v>519</v>
      </c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</row>
    <row r="87" spans="1:35" ht="18" customHeight="1" x14ac:dyDescent="0.2">
      <c r="A87" s="93" t="s">
        <v>520</v>
      </c>
      <c r="B87" s="45">
        <f>IFERROR(INDEX(AE$5:AE$55,D70+1),0)</f>
        <v>0</v>
      </c>
      <c r="C87" s="187" t="s">
        <v>521</v>
      </c>
      <c r="D87" s="178"/>
      <c r="F87" s="40" t="s">
        <v>522</v>
      </c>
      <c r="G87" s="187" t="s">
        <v>523</v>
      </c>
      <c r="H87" s="178"/>
      <c r="J87" s="68" t="s">
        <v>522</v>
      </c>
      <c r="K87" s="187" t="s">
        <v>524</v>
      </c>
      <c r="L87" s="178"/>
      <c r="N87" s="190" t="s">
        <v>525</v>
      </c>
      <c r="O87" s="177"/>
      <c r="P87" s="178"/>
    </row>
    <row r="88" spans="1:35" ht="18" customHeight="1" x14ac:dyDescent="0.2">
      <c r="A88" s="93" t="s">
        <v>526</v>
      </c>
      <c r="B88" s="45">
        <f>IFERROR(INDEX(AG$5:AG$55,D70+1),0)</f>
        <v>0</v>
      </c>
      <c r="C88" s="187" t="s">
        <v>527</v>
      </c>
      <c r="D88" s="178"/>
      <c r="F88" s="40" t="s">
        <v>522</v>
      </c>
      <c r="G88" s="187" t="s">
        <v>528</v>
      </c>
      <c r="H88" s="178"/>
      <c r="J88" s="68" t="s">
        <v>522</v>
      </c>
      <c r="K88" s="187" t="s">
        <v>529</v>
      </c>
      <c r="L88" s="178"/>
      <c r="N88" s="190" t="s">
        <v>530</v>
      </c>
      <c r="O88" s="177"/>
      <c r="P88" s="178"/>
    </row>
    <row r="89" spans="1:35" ht="18" customHeight="1" x14ac:dyDescent="0.2">
      <c r="A89" s="93" t="s">
        <v>531</v>
      </c>
      <c r="B89" s="45">
        <f>IFERROR(INDEX(AF$5:AF$55,D70+1),0)</f>
        <v>0</v>
      </c>
      <c r="C89" s="187" t="s">
        <v>532</v>
      </c>
      <c r="D89" s="178"/>
      <c r="F89" s="40" t="s">
        <v>522</v>
      </c>
      <c r="G89" s="187" t="s">
        <v>533</v>
      </c>
      <c r="H89" s="178"/>
      <c r="J89" s="68" t="s">
        <v>522</v>
      </c>
      <c r="K89" s="187" t="s">
        <v>534</v>
      </c>
      <c r="L89" s="178"/>
      <c r="N89" s="190" t="s">
        <v>535</v>
      </c>
      <c r="O89" s="177"/>
      <c r="P89" s="178"/>
    </row>
    <row r="90" spans="1:35" ht="18" customHeight="1" x14ac:dyDescent="0.2">
      <c r="A90" s="93" t="s">
        <v>536</v>
      </c>
      <c r="B90" s="45">
        <f>IFERROR(INDEX(AH$5:AH$55,D70+1),0)</f>
        <v>0</v>
      </c>
      <c r="C90" s="187" t="s">
        <v>537</v>
      </c>
      <c r="D90" s="178"/>
      <c r="F90" s="40" t="s">
        <v>522</v>
      </c>
      <c r="G90" s="187" t="s">
        <v>538</v>
      </c>
      <c r="H90" s="178"/>
      <c r="J90" s="68" t="s">
        <v>522</v>
      </c>
      <c r="K90" s="187" t="s">
        <v>539</v>
      </c>
      <c r="L90" s="178"/>
      <c r="N90" s="190" t="s">
        <v>540</v>
      </c>
      <c r="O90" s="177"/>
      <c r="P90" s="178"/>
    </row>
    <row r="91" spans="1:35" ht="6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ht="18" customHeight="1" x14ac:dyDescent="0.2">
      <c r="A92" s="197" t="str">
        <f>HYPERLINK("#PROJECTIONS!A1","↑ Back to top")</f>
        <v>↑ Back to top</v>
      </c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</row>
  </sheetData>
  <mergeCells count="84">
    <mergeCell ref="A2:AH2"/>
    <mergeCell ref="K89:L89"/>
    <mergeCell ref="C89:D89"/>
    <mergeCell ref="C79:D79"/>
    <mergeCell ref="K88:L88"/>
    <mergeCell ref="K81:L81"/>
    <mergeCell ref="K76:L76"/>
    <mergeCell ref="A3:C3"/>
    <mergeCell ref="K79:L79"/>
    <mergeCell ref="A62:C62"/>
    <mergeCell ref="D3:L3"/>
    <mergeCell ref="C84:D84"/>
    <mergeCell ref="C80:D80"/>
    <mergeCell ref="A82:P82"/>
    <mergeCell ref="G87:H87"/>
    <mergeCell ref="N76:P76"/>
    <mergeCell ref="K90:L90"/>
    <mergeCell ref="A69:AI69"/>
    <mergeCell ref="A63:C63"/>
    <mergeCell ref="D72:E72"/>
    <mergeCell ref="F72:G72"/>
    <mergeCell ref="H72:I72"/>
    <mergeCell ref="C76:D76"/>
    <mergeCell ref="L72:M72"/>
    <mergeCell ref="G85:H85"/>
    <mergeCell ref="G84:H84"/>
    <mergeCell ref="N81:P81"/>
    <mergeCell ref="C83:D83"/>
    <mergeCell ref="A66:C66"/>
    <mergeCell ref="G77:H77"/>
    <mergeCell ref="E70:N70"/>
    <mergeCell ref="K80:L80"/>
    <mergeCell ref="A92:P92"/>
    <mergeCell ref="C90:D90"/>
    <mergeCell ref="A1:AH1"/>
    <mergeCell ref="A78:P78"/>
    <mergeCell ref="G88:H88"/>
    <mergeCell ref="A60:C60"/>
    <mergeCell ref="A75:P75"/>
    <mergeCell ref="G76:H76"/>
    <mergeCell ref="G90:H90"/>
    <mergeCell ref="N72:P72"/>
    <mergeCell ref="K74:L74"/>
    <mergeCell ref="C77:D77"/>
    <mergeCell ref="K83:L83"/>
    <mergeCell ref="B72:C72"/>
    <mergeCell ref="C85:D85"/>
    <mergeCell ref="N88:P88"/>
    <mergeCell ref="N90:P90"/>
    <mergeCell ref="N74:P74"/>
    <mergeCell ref="AE3:AH3"/>
    <mergeCell ref="G80:H80"/>
    <mergeCell ref="N83:P83"/>
    <mergeCell ref="G89:H89"/>
    <mergeCell ref="V3:AD3"/>
    <mergeCell ref="A86:P86"/>
    <mergeCell ref="C88:D88"/>
    <mergeCell ref="M3:U3"/>
    <mergeCell ref="N87:P87"/>
    <mergeCell ref="A58:AH58"/>
    <mergeCell ref="N80:P80"/>
    <mergeCell ref="K77:L77"/>
    <mergeCell ref="N89:P89"/>
    <mergeCell ref="N79:P79"/>
    <mergeCell ref="N85:P85"/>
    <mergeCell ref="A61:C61"/>
    <mergeCell ref="A70:C70"/>
    <mergeCell ref="N77:P77"/>
    <mergeCell ref="J72:K72"/>
    <mergeCell ref="C74:D74"/>
    <mergeCell ref="K85:L85"/>
    <mergeCell ref="N84:P84"/>
    <mergeCell ref="K84:L84"/>
    <mergeCell ref="A73:P73"/>
    <mergeCell ref="G74:H74"/>
    <mergeCell ref="G83:H83"/>
    <mergeCell ref="G81:H81"/>
    <mergeCell ref="C81:D81"/>
    <mergeCell ref="A65:C65"/>
    <mergeCell ref="K87:L87"/>
    <mergeCell ref="C87:D87"/>
    <mergeCell ref="A59:C59"/>
    <mergeCell ref="G79:H79"/>
    <mergeCell ref="A64:C64"/>
  </mergeCells>
  <dataValidations count="1">
    <dataValidation type="decimal" showErrorMessage="1" errorTitle="Invalid Year" error="Enter 0–50. Year 0 = 2026. Year 50 = 2076." sqref="D70" xr:uid="{00000000-0002-0000-0300-000000000000}">
      <formula1>0</formula1>
      <formula2>50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zoomScaleNormal="100" workbookViewId="0"/>
  </sheetViews>
  <sheetFormatPr baseColWidth="10" defaultColWidth="8.6640625" defaultRowHeight="15" customHeight="1" x14ac:dyDescent="0.2"/>
  <cols>
    <col min="1" max="1" width="100" customWidth="1"/>
  </cols>
  <sheetData>
    <row r="1" spans="1:1" ht="31.5" customHeight="1" x14ac:dyDescent="0.2">
      <c r="A1" s="94" t="s">
        <v>541</v>
      </c>
    </row>
    <row r="2" spans="1:1" ht="18" customHeight="1" x14ac:dyDescent="0.2">
      <c r="A2" s="95" t="s">
        <v>542</v>
      </c>
    </row>
    <row r="3" spans="1:1" ht="60" customHeight="1" x14ac:dyDescent="0.2">
      <c r="A3" s="96" t="s">
        <v>543</v>
      </c>
    </row>
    <row r="5" spans="1:1" ht="18" customHeight="1" x14ac:dyDescent="0.2">
      <c r="A5" s="95" t="s">
        <v>544</v>
      </c>
    </row>
    <row r="6" spans="1:1" ht="60" customHeight="1" x14ac:dyDescent="0.2">
      <c r="A6" s="96" t="s">
        <v>545</v>
      </c>
    </row>
    <row r="8" spans="1:1" ht="18" customHeight="1" x14ac:dyDescent="0.2">
      <c r="A8" s="95" t="s">
        <v>546</v>
      </c>
    </row>
    <row r="9" spans="1:1" ht="60" customHeight="1" x14ac:dyDescent="0.2">
      <c r="A9" s="96" t="s">
        <v>547</v>
      </c>
    </row>
    <row r="11" spans="1:1" ht="18" customHeight="1" x14ac:dyDescent="0.2">
      <c r="A11" s="95" t="s">
        <v>548</v>
      </c>
    </row>
    <row r="12" spans="1:1" ht="60" customHeight="1" x14ac:dyDescent="0.2">
      <c r="A12" s="96" t="s">
        <v>549</v>
      </c>
    </row>
    <row r="14" spans="1:1" ht="18" customHeight="1" x14ac:dyDescent="0.2">
      <c r="A14" s="95" t="s">
        <v>550</v>
      </c>
    </row>
    <row r="15" spans="1:1" ht="60" customHeight="1" x14ac:dyDescent="0.2">
      <c r="A15" s="96" t="s">
        <v>551</v>
      </c>
    </row>
    <row r="17" spans="1:1" ht="18" customHeight="1" x14ac:dyDescent="0.2">
      <c r="A17" s="95" t="s">
        <v>552</v>
      </c>
    </row>
    <row r="18" spans="1:1" ht="60" customHeight="1" x14ac:dyDescent="0.2">
      <c r="A18" s="96" t="s">
        <v>553</v>
      </c>
    </row>
    <row r="20" spans="1:1" ht="18" customHeight="1" x14ac:dyDescent="0.2">
      <c r="A20" s="95" t="s">
        <v>554</v>
      </c>
    </row>
    <row r="21" spans="1:1" ht="60" customHeight="1" x14ac:dyDescent="0.2">
      <c r="A21" s="96" t="s">
        <v>555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zoomScaleNormal="100" workbookViewId="0"/>
  </sheetViews>
  <sheetFormatPr baseColWidth="10" defaultColWidth="8.6640625" defaultRowHeight="15" customHeight="1" x14ac:dyDescent="0.2"/>
  <cols>
    <col min="1" max="1" width="20" customWidth="1"/>
    <col min="2" max="8" width="16" customWidth="1"/>
  </cols>
  <sheetData>
    <row r="1" spans="1:8" ht="31.5" customHeight="1" x14ac:dyDescent="0.2">
      <c r="A1" s="207" t="s">
        <v>556</v>
      </c>
      <c r="B1" s="177"/>
      <c r="C1" s="177"/>
      <c r="D1" s="177"/>
      <c r="E1" s="177"/>
      <c r="F1" s="177"/>
      <c r="G1" s="177"/>
      <c r="H1" s="178"/>
    </row>
    <row r="2" spans="1:8" ht="18" customHeight="1" x14ac:dyDescent="0.2">
      <c r="A2" s="7" t="s">
        <v>556</v>
      </c>
      <c r="B2" s="7"/>
      <c r="C2" s="7"/>
      <c r="D2" s="7"/>
      <c r="E2" s="7"/>
      <c r="F2" s="7"/>
      <c r="G2" s="7"/>
      <c r="H2" s="7"/>
    </row>
    <row r="3" spans="1:8" ht="18" customHeight="1" x14ac:dyDescent="0.2">
      <c r="A3" s="7" t="s">
        <v>557</v>
      </c>
      <c r="B3" s="7"/>
      <c r="C3" s="7"/>
      <c r="D3" s="7"/>
      <c r="E3" s="7"/>
      <c r="F3" s="7"/>
      <c r="G3" s="7"/>
      <c r="H3" s="7"/>
    </row>
    <row r="4" spans="1:8" ht="18" customHeight="1" x14ac:dyDescent="0.2">
      <c r="A4" s="7"/>
      <c r="B4" s="7"/>
      <c r="C4" s="7"/>
      <c r="D4" s="7"/>
      <c r="E4" s="7"/>
      <c r="F4" s="7"/>
      <c r="G4" s="7"/>
      <c r="H4" s="7"/>
    </row>
    <row r="5" spans="1:8" ht="18" customHeight="1" x14ac:dyDescent="0.2">
      <c r="A5" s="7" t="s">
        <v>558</v>
      </c>
      <c r="B5" s="7"/>
      <c r="C5" s="7"/>
      <c r="D5" s="7"/>
      <c r="E5" s="7"/>
      <c r="F5" s="7"/>
      <c r="G5" s="7"/>
      <c r="H5" s="7"/>
    </row>
    <row r="6" spans="1:8" ht="18" customHeight="1" x14ac:dyDescent="0.2">
      <c r="A6" s="7"/>
      <c r="B6" s="7"/>
      <c r="C6" s="7"/>
      <c r="D6" s="7"/>
      <c r="E6" s="7"/>
      <c r="F6" s="7"/>
      <c r="G6" s="7"/>
      <c r="H6" s="7"/>
    </row>
    <row r="7" spans="1:8" ht="18" customHeight="1" x14ac:dyDescent="0.2">
      <c r="A7" s="7" t="s">
        <v>559</v>
      </c>
      <c r="B7" s="7"/>
      <c r="C7" s="7"/>
      <c r="D7" s="7"/>
      <c r="E7" s="7"/>
      <c r="F7" s="7"/>
      <c r="G7" s="7"/>
      <c r="H7" s="7"/>
    </row>
    <row r="8" spans="1:8" ht="18" customHeight="1" x14ac:dyDescent="0.2">
      <c r="A8" s="7"/>
      <c r="B8" s="7"/>
      <c r="C8" s="7"/>
      <c r="D8" s="7"/>
      <c r="E8" s="7"/>
      <c r="F8" s="7"/>
      <c r="G8" s="7"/>
      <c r="H8" s="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9"/>
  <sheetViews>
    <sheetView zoomScaleNormal="100" workbookViewId="0"/>
  </sheetViews>
  <sheetFormatPr baseColWidth="10" defaultColWidth="8.6640625" defaultRowHeight="15" customHeight="1" x14ac:dyDescent="0.2"/>
  <cols>
    <col min="1" max="1" width="34" customWidth="1"/>
    <col min="2" max="4" width="20" customWidth="1"/>
    <col min="5" max="5" width="36" customWidth="1"/>
    <col min="6" max="8" width="11.5" customWidth="1"/>
  </cols>
  <sheetData>
    <row r="1" spans="1:8" ht="31.5" customHeight="1" x14ac:dyDescent="0.2">
      <c r="A1" s="217" t="s">
        <v>560</v>
      </c>
      <c r="B1" s="177"/>
      <c r="C1" s="177"/>
      <c r="D1" s="177"/>
      <c r="E1" s="178"/>
      <c r="G1" s="97"/>
      <c r="H1" s="98"/>
    </row>
    <row r="2" spans="1:8" ht="15.75" customHeight="1" x14ac:dyDescent="0.2">
      <c r="A2" s="99" t="s">
        <v>561</v>
      </c>
      <c r="B2" s="90" t="s">
        <v>562</v>
      </c>
      <c r="C2" s="91" t="s">
        <v>563</v>
      </c>
      <c r="D2" s="92" t="s">
        <v>564</v>
      </c>
      <c r="E2" s="62" t="s">
        <v>352</v>
      </c>
      <c r="G2" s="100"/>
      <c r="H2" s="101"/>
    </row>
    <row r="3" spans="1:8" ht="18" customHeight="1" x14ac:dyDescent="0.2">
      <c r="A3" s="102"/>
      <c r="B3" s="102"/>
      <c r="C3" s="102"/>
      <c r="D3" s="102"/>
      <c r="E3" s="102"/>
      <c r="G3" s="100"/>
      <c r="H3" s="98"/>
    </row>
    <row r="4" spans="1:8" ht="21.75" customHeight="1" x14ac:dyDescent="0.2">
      <c r="A4" s="209" t="s">
        <v>565</v>
      </c>
      <c r="B4" s="177"/>
      <c r="C4" s="177"/>
      <c r="D4" s="177"/>
      <c r="E4" s="178"/>
      <c r="G4" s="98"/>
      <c r="H4" s="98"/>
    </row>
    <row r="5" spans="1:8" ht="36" customHeight="1" x14ac:dyDescent="0.2">
      <c r="A5" s="103" t="s">
        <v>566</v>
      </c>
      <c r="B5" s="2" t="s">
        <v>562</v>
      </c>
      <c r="C5" s="3" t="s">
        <v>563</v>
      </c>
      <c r="D5" s="4" t="s">
        <v>564</v>
      </c>
      <c r="E5" s="5" t="s">
        <v>352</v>
      </c>
      <c r="G5" s="100"/>
      <c r="H5" s="39"/>
    </row>
    <row r="6" spans="1:8" ht="18" customHeight="1" x14ac:dyDescent="0.2">
      <c r="A6" s="104" t="s">
        <v>567</v>
      </c>
      <c r="B6" s="16">
        <v>5591.66</v>
      </c>
      <c r="C6" s="16">
        <v>9803.15</v>
      </c>
      <c r="D6" s="16">
        <v>3333</v>
      </c>
      <c r="E6" s="105"/>
      <c r="G6" s="100"/>
      <c r="H6" s="39"/>
    </row>
    <row r="7" spans="1:8" ht="18" customHeight="1" x14ac:dyDescent="0.2">
      <c r="A7" s="100" t="s">
        <v>568</v>
      </c>
      <c r="B7" s="16">
        <v>2741.66</v>
      </c>
      <c r="C7" s="86"/>
      <c r="D7" s="86"/>
      <c r="E7" s="86"/>
      <c r="G7" s="100"/>
      <c r="H7" s="39"/>
    </row>
    <row r="8" spans="1:8" ht="18" customHeight="1" x14ac:dyDescent="0.2">
      <c r="A8" s="104" t="s">
        <v>569</v>
      </c>
      <c r="B8" s="16">
        <v>477</v>
      </c>
      <c r="C8" s="105"/>
      <c r="D8" s="105"/>
      <c r="E8" s="105"/>
      <c r="G8" s="100"/>
      <c r="H8" s="39"/>
    </row>
    <row r="9" spans="1:8" ht="18" customHeight="1" x14ac:dyDescent="0.2">
      <c r="A9" s="100" t="s">
        <v>570</v>
      </c>
      <c r="B9" s="16">
        <v>0</v>
      </c>
      <c r="C9" s="86"/>
      <c r="D9" s="86"/>
      <c r="E9" s="86"/>
      <c r="G9" s="100"/>
      <c r="H9" s="98"/>
    </row>
    <row r="10" spans="1:8" ht="18" customHeight="1" x14ac:dyDescent="0.2">
      <c r="A10" s="104" t="s">
        <v>571</v>
      </c>
      <c r="B10" s="16">
        <v>0</v>
      </c>
      <c r="C10" s="105"/>
      <c r="D10" s="105"/>
      <c r="E10" s="105"/>
      <c r="G10" s="100"/>
      <c r="H10" s="39"/>
    </row>
    <row r="11" spans="1:8" ht="18" customHeight="1" x14ac:dyDescent="0.2">
      <c r="A11" s="100" t="s">
        <v>572</v>
      </c>
      <c r="B11" s="16">
        <v>0</v>
      </c>
      <c r="C11" s="86"/>
      <c r="D11" s="86"/>
      <c r="E11" s="86"/>
      <c r="G11" s="100"/>
      <c r="H11" s="39"/>
    </row>
    <row r="12" spans="1:8" ht="18" customHeight="1" x14ac:dyDescent="0.2">
      <c r="A12" s="104" t="s">
        <v>573</v>
      </c>
      <c r="B12" s="16">
        <v>0</v>
      </c>
      <c r="C12" s="105"/>
      <c r="D12" s="105"/>
      <c r="E12" s="105"/>
      <c r="G12" s="100"/>
      <c r="H12" s="39"/>
    </row>
    <row r="13" spans="1:8" ht="18" customHeight="1" x14ac:dyDescent="0.2">
      <c r="A13" s="100" t="s">
        <v>574</v>
      </c>
      <c r="B13" s="16">
        <v>0</v>
      </c>
      <c r="C13" s="86"/>
      <c r="D13" s="86"/>
      <c r="E13" s="86"/>
      <c r="G13" s="100"/>
      <c r="H13" s="39"/>
    </row>
    <row r="14" spans="1:8" ht="18" customHeight="1" x14ac:dyDescent="0.2">
      <c r="A14" s="104" t="s">
        <v>575</v>
      </c>
      <c r="B14" s="16">
        <v>0</v>
      </c>
      <c r="C14" s="105"/>
      <c r="D14" s="105"/>
      <c r="E14" s="105"/>
      <c r="G14" s="100"/>
      <c r="H14" s="98"/>
    </row>
    <row r="15" spans="1:8" ht="18" customHeight="1" x14ac:dyDescent="0.2">
      <c r="A15" s="100" t="s">
        <v>576</v>
      </c>
      <c r="B15" s="16">
        <v>0</v>
      </c>
      <c r="C15" s="86"/>
      <c r="D15" s="86"/>
      <c r="E15" s="86"/>
      <c r="G15" s="100"/>
      <c r="H15" s="39"/>
    </row>
    <row r="16" spans="1:8" ht="18" customHeight="1" x14ac:dyDescent="0.2">
      <c r="A16" s="104" t="s">
        <v>577</v>
      </c>
      <c r="B16" s="16">
        <v>0</v>
      </c>
      <c r="C16" s="105"/>
      <c r="D16" s="105"/>
      <c r="E16" s="105"/>
      <c r="G16" s="100"/>
      <c r="H16" s="39"/>
    </row>
    <row r="17" spans="1:8" ht="18" customHeight="1" x14ac:dyDescent="0.2">
      <c r="A17" s="100" t="s">
        <v>578</v>
      </c>
      <c r="B17" s="16">
        <v>0</v>
      </c>
      <c r="C17" s="86"/>
      <c r="D17" s="86"/>
      <c r="E17" s="86"/>
      <c r="G17" s="100"/>
      <c r="H17" s="39"/>
    </row>
    <row r="18" spans="1:8" ht="18" customHeight="1" x14ac:dyDescent="0.2">
      <c r="A18" s="104" t="s">
        <v>579</v>
      </c>
      <c r="B18" s="16">
        <v>0</v>
      </c>
      <c r="C18" s="105"/>
      <c r="D18" s="105"/>
      <c r="E18" s="105"/>
      <c r="G18" s="100"/>
      <c r="H18" s="39"/>
    </row>
    <row r="19" spans="1:8" ht="18" customHeight="1" x14ac:dyDescent="0.2">
      <c r="A19" s="100" t="s">
        <v>580</v>
      </c>
      <c r="B19" s="16">
        <v>0</v>
      </c>
      <c r="C19" s="86"/>
      <c r="D19" s="86"/>
      <c r="E19" s="86"/>
      <c r="G19" s="98"/>
      <c r="H19" s="98"/>
    </row>
    <row r="20" spans="1:8" ht="18" customHeight="1" x14ac:dyDescent="0.2">
      <c r="A20" s="104" t="s">
        <v>581</v>
      </c>
      <c r="B20" s="16">
        <v>0</v>
      </c>
      <c r="C20" s="105"/>
      <c r="D20" s="105"/>
      <c r="E20" s="105"/>
      <c r="G20" s="98"/>
      <c r="H20" s="98"/>
    </row>
    <row r="21" spans="1:8" ht="18" customHeight="1" x14ac:dyDescent="0.2">
      <c r="A21" s="86"/>
      <c r="B21" s="86"/>
      <c r="C21" s="86"/>
      <c r="D21" s="86"/>
      <c r="E21" s="86"/>
      <c r="G21" s="98"/>
      <c r="H21" s="98"/>
    </row>
    <row r="22" spans="1:8" ht="18" customHeight="1" x14ac:dyDescent="0.2">
      <c r="A22" s="105"/>
      <c r="B22" s="105"/>
      <c r="C22" s="105"/>
      <c r="D22" s="105"/>
      <c r="E22" s="105"/>
      <c r="G22" s="98"/>
      <c r="H22" s="98"/>
    </row>
    <row r="23" spans="1:8" ht="18" customHeight="1" x14ac:dyDescent="0.2">
      <c r="A23" s="86"/>
      <c r="B23" s="86"/>
      <c r="C23" s="86"/>
      <c r="D23" s="86"/>
      <c r="E23" s="86"/>
      <c r="G23" s="98"/>
      <c r="H23" s="98"/>
    </row>
    <row r="24" spans="1:8" ht="19.5" customHeight="1" x14ac:dyDescent="0.2">
      <c r="A24" s="106" t="s">
        <v>582</v>
      </c>
      <c r="B24" s="107">
        <f>SUM(B6:B23)</f>
        <v>8810.32</v>
      </c>
      <c r="C24" s="107">
        <f>SUM(C6:C23)</f>
        <v>9803.15</v>
      </c>
      <c r="D24" s="107">
        <f>SUM(D6:D23)</f>
        <v>3333</v>
      </c>
      <c r="E24" s="88"/>
      <c r="G24" s="98"/>
      <c r="H24" s="98"/>
    </row>
    <row r="25" spans="1:8" ht="4.5" customHeight="1" x14ac:dyDescent="0.2">
      <c r="A25" s="108"/>
      <c r="B25" s="108"/>
      <c r="C25" s="108"/>
      <c r="D25" s="108"/>
      <c r="E25" s="108"/>
      <c r="G25" s="98"/>
      <c r="H25" s="98"/>
    </row>
    <row r="26" spans="1:8" ht="36" customHeight="1" x14ac:dyDescent="0.2">
      <c r="A26" s="103" t="s">
        <v>583</v>
      </c>
      <c r="B26" s="2" t="s">
        <v>562</v>
      </c>
      <c r="C26" s="3" t="s">
        <v>563</v>
      </c>
      <c r="D26" s="4" t="s">
        <v>564</v>
      </c>
      <c r="E26" s="5" t="s">
        <v>352</v>
      </c>
    </row>
    <row r="27" spans="1:8" ht="18" customHeight="1" x14ac:dyDescent="0.2">
      <c r="A27" s="104" t="s">
        <v>584</v>
      </c>
      <c r="B27" s="16">
        <v>467.6</v>
      </c>
      <c r="C27" s="16">
        <v>1238.42</v>
      </c>
      <c r="D27" s="105"/>
      <c r="E27" s="105"/>
    </row>
    <row r="28" spans="1:8" ht="18" customHeight="1" x14ac:dyDescent="0.2">
      <c r="A28" s="100" t="s">
        <v>585</v>
      </c>
      <c r="B28" s="16">
        <v>284.27999999999997</v>
      </c>
      <c r="C28" s="16">
        <v>749.92</v>
      </c>
      <c r="D28" s="86"/>
      <c r="E28" s="86"/>
    </row>
    <row r="29" spans="1:8" ht="18" customHeight="1" x14ac:dyDescent="0.2">
      <c r="A29" s="104" t="s">
        <v>586</v>
      </c>
      <c r="B29" s="16">
        <v>66.489999999999995</v>
      </c>
      <c r="C29" s="105"/>
      <c r="D29" s="105"/>
      <c r="E29" s="105"/>
    </row>
    <row r="30" spans="1:8" ht="18" customHeight="1" x14ac:dyDescent="0.2">
      <c r="A30" s="100" t="s">
        <v>587</v>
      </c>
      <c r="B30" s="16">
        <v>240.08</v>
      </c>
      <c r="C30" s="16">
        <v>478.75</v>
      </c>
      <c r="D30" s="86"/>
      <c r="E30" s="86"/>
    </row>
    <row r="31" spans="1:8" ht="18" customHeight="1" x14ac:dyDescent="0.2">
      <c r="A31" s="104" t="s">
        <v>588</v>
      </c>
      <c r="B31" s="16">
        <v>0.5</v>
      </c>
      <c r="C31" s="16">
        <v>0</v>
      </c>
      <c r="D31" s="105"/>
      <c r="E31" s="105"/>
    </row>
    <row r="32" spans="1:8" ht="18" customHeight="1" x14ac:dyDescent="0.2">
      <c r="A32" s="100" t="s">
        <v>589</v>
      </c>
      <c r="B32" s="16">
        <v>31</v>
      </c>
      <c r="C32" s="86"/>
      <c r="D32" s="86"/>
      <c r="E32" s="86"/>
    </row>
    <row r="33" spans="1:5" ht="18" customHeight="1" x14ac:dyDescent="0.2">
      <c r="A33" s="104" t="s">
        <v>590</v>
      </c>
      <c r="B33" s="16">
        <v>0</v>
      </c>
      <c r="C33" s="105"/>
      <c r="D33" s="105"/>
      <c r="E33" s="105"/>
    </row>
    <row r="34" spans="1:5" ht="18" customHeight="1" x14ac:dyDescent="0.2">
      <c r="A34" s="100" t="s">
        <v>591</v>
      </c>
      <c r="B34" s="16"/>
      <c r="C34" s="16">
        <v>0</v>
      </c>
      <c r="D34" s="86"/>
      <c r="E34" s="86"/>
    </row>
    <row r="35" spans="1:5" ht="18" customHeight="1" x14ac:dyDescent="0.2">
      <c r="A35" s="104" t="s">
        <v>592</v>
      </c>
      <c r="B35" s="16">
        <v>0</v>
      </c>
      <c r="C35" s="105"/>
      <c r="D35" s="105"/>
      <c r="E35" s="105"/>
    </row>
    <row r="36" spans="1:5" ht="18" customHeight="1" x14ac:dyDescent="0.2">
      <c r="A36" s="100" t="s">
        <v>593</v>
      </c>
      <c r="B36" s="16">
        <v>0</v>
      </c>
      <c r="C36" s="86"/>
      <c r="D36" s="86"/>
      <c r="E36" s="86"/>
    </row>
    <row r="37" spans="1:5" ht="18" customHeight="1" x14ac:dyDescent="0.2">
      <c r="A37" s="104" t="s">
        <v>594</v>
      </c>
      <c r="B37" s="16">
        <v>0</v>
      </c>
      <c r="C37" s="105"/>
      <c r="D37" s="105"/>
      <c r="E37" s="105"/>
    </row>
    <row r="38" spans="1:5" ht="18" customHeight="1" x14ac:dyDescent="0.2">
      <c r="A38" s="100" t="s">
        <v>595</v>
      </c>
      <c r="B38" s="16">
        <v>0</v>
      </c>
      <c r="C38" s="86"/>
      <c r="D38" s="86"/>
      <c r="E38" s="86"/>
    </row>
    <row r="39" spans="1:5" ht="18" customHeight="1" x14ac:dyDescent="0.2">
      <c r="A39" s="104" t="s">
        <v>596</v>
      </c>
      <c r="B39" s="16">
        <v>0</v>
      </c>
      <c r="C39" s="105"/>
      <c r="D39" s="105"/>
      <c r="E39" s="105"/>
    </row>
    <row r="40" spans="1:5" ht="18" customHeight="1" x14ac:dyDescent="0.2">
      <c r="A40" s="100" t="s">
        <v>597</v>
      </c>
      <c r="B40" s="86"/>
      <c r="C40" s="16">
        <v>541.66999999999996</v>
      </c>
      <c r="D40" s="86"/>
      <c r="E40" s="109" t="s">
        <v>598</v>
      </c>
    </row>
    <row r="41" spans="1:5" ht="18" customHeight="1" x14ac:dyDescent="0.2">
      <c r="A41" s="105"/>
      <c r="B41" s="105"/>
      <c r="C41" s="105"/>
      <c r="D41" s="105"/>
      <c r="E41" s="105"/>
    </row>
    <row r="42" spans="1:5" ht="18" customHeight="1" x14ac:dyDescent="0.2">
      <c r="A42" s="86"/>
      <c r="B42" s="86"/>
      <c r="C42" s="86"/>
      <c r="D42" s="86"/>
      <c r="E42" s="86"/>
    </row>
    <row r="43" spans="1:5" ht="18" customHeight="1" x14ac:dyDescent="0.2">
      <c r="A43" s="105"/>
      <c r="B43" s="105"/>
      <c r="C43" s="105"/>
      <c r="D43" s="105"/>
      <c r="E43" s="105"/>
    </row>
    <row r="44" spans="1:5" ht="18" customHeight="1" x14ac:dyDescent="0.2">
      <c r="A44" s="86"/>
      <c r="B44" s="86"/>
      <c r="C44" s="86"/>
      <c r="D44" s="86"/>
      <c r="E44" s="86"/>
    </row>
    <row r="45" spans="1:5" ht="19.5" customHeight="1" x14ac:dyDescent="0.2">
      <c r="A45" s="106" t="s">
        <v>583</v>
      </c>
      <c r="B45" s="107">
        <f>SUM(B27:B44)</f>
        <v>1089.95</v>
      </c>
      <c r="C45" s="107">
        <f>SUM(C27:C44)</f>
        <v>3008.76</v>
      </c>
      <c r="D45" s="107">
        <f>SUM(D27:D44)</f>
        <v>0</v>
      </c>
      <c r="E45" s="88"/>
    </row>
    <row r="46" spans="1:5" ht="4.5" customHeight="1" x14ac:dyDescent="0.2">
      <c r="A46" s="108"/>
      <c r="B46" s="108"/>
      <c r="C46" s="108"/>
      <c r="D46" s="108"/>
      <c r="E46" s="108"/>
    </row>
    <row r="47" spans="1:5" ht="19.5" customHeight="1" x14ac:dyDescent="0.2">
      <c r="A47" s="110" t="s">
        <v>599</v>
      </c>
      <c r="B47" s="78">
        <f>B24-B45</f>
        <v>7720.37</v>
      </c>
      <c r="C47" s="78">
        <f>C24-C45</f>
        <v>6794.3899999999994</v>
      </c>
      <c r="D47" s="78">
        <f>D24-D45</f>
        <v>3333</v>
      </c>
      <c r="E47" s="111"/>
    </row>
    <row r="48" spans="1:5" ht="4.5" customHeight="1" x14ac:dyDescent="0.2">
      <c r="A48" s="108"/>
      <c r="B48" s="108"/>
      <c r="C48" s="108"/>
      <c r="D48" s="108"/>
      <c r="E48" s="108"/>
    </row>
    <row r="49" spans="1:5" ht="21.75" customHeight="1" x14ac:dyDescent="0.2">
      <c r="A49" s="209" t="s">
        <v>600</v>
      </c>
      <c r="B49" s="177"/>
      <c r="C49" s="177"/>
      <c r="D49" s="177"/>
      <c r="E49" s="178"/>
    </row>
    <row r="50" spans="1:5" ht="36" customHeight="1" x14ac:dyDescent="0.2">
      <c r="A50" s="103" t="s">
        <v>566</v>
      </c>
      <c r="B50" s="2" t="s">
        <v>562</v>
      </c>
      <c r="C50" s="3" t="s">
        <v>563</v>
      </c>
      <c r="D50" s="4" t="s">
        <v>564</v>
      </c>
      <c r="E50" s="5" t="s">
        <v>352</v>
      </c>
    </row>
    <row r="51" spans="1:5" ht="18" customHeight="1" x14ac:dyDescent="0.2">
      <c r="A51" s="104" t="s">
        <v>601</v>
      </c>
      <c r="B51" s="105"/>
      <c r="C51" s="105"/>
      <c r="D51" s="105"/>
      <c r="E51" s="105"/>
    </row>
    <row r="52" spans="1:5" ht="18" customHeight="1" x14ac:dyDescent="0.2">
      <c r="A52" s="100" t="s">
        <v>568</v>
      </c>
      <c r="B52" s="86"/>
      <c r="C52" s="86"/>
      <c r="D52" s="86"/>
      <c r="E52" s="86"/>
    </row>
    <row r="53" spans="1:5" ht="18" customHeight="1" x14ac:dyDescent="0.2">
      <c r="A53" s="104" t="s">
        <v>569</v>
      </c>
      <c r="B53" s="105"/>
      <c r="C53" s="105"/>
      <c r="D53" s="105"/>
      <c r="E53" s="105"/>
    </row>
    <row r="54" spans="1:5" ht="18" customHeight="1" x14ac:dyDescent="0.2">
      <c r="A54" s="100" t="s">
        <v>570</v>
      </c>
      <c r="B54" s="86"/>
      <c r="C54" s="86"/>
      <c r="D54" s="86"/>
      <c r="E54" s="86"/>
    </row>
    <row r="55" spans="1:5" ht="18" customHeight="1" x14ac:dyDescent="0.2">
      <c r="A55" s="104" t="s">
        <v>571</v>
      </c>
      <c r="B55" s="105"/>
      <c r="C55" s="105"/>
      <c r="D55" s="105"/>
      <c r="E55" s="105"/>
    </row>
    <row r="56" spans="1:5" ht="18" customHeight="1" x14ac:dyDescent="0.2">
      <c r="A56" s="100" t="s">
        <v>572</v>
      </c>
      <c r="B56" s="86"/>
      <c r="C56" s="86"/>
      <c r="D56" s="86"/>
      <c r="E56" s="86"/>
    </row>
    <row r="57" spans="1:5" ht="18" customHeight="1" x14ac:dyDescent="0.2">
      <c r="A57" s="104" t="s">
        <v>573</v>
      </c>
      <c r="B57" s="105"/>
      <c r="C57" s="105"/>
      <c r="D57" s="105"/>
      <c r="E57" s="105"/>
    </row>
    <row r="58" spans="1:5" ht="18" customHeight="1" x14ac:dyDescent="0.2">
      <c r="A58" s="100" t="s">
        <v>574</v>
      </c>
      <c r="B58" s="86"/>
      <c r="C58" s="86"/>
      <c r="D58" s="86"/>
      <c r="E58" s="86"/>
    </row>
    <row r="59" spans="1:5" ht="18" customHeight="1" x14ac:dyDescent="0.2">
      <c r="A59" s="104" t="s">
        <v>575</v>
      </c>
      <c r="B59" s="105"/>
      <c r="C59" s="105"/>
      <c r="D59" s="105"/>
      <c r="E59" s="105"/>
    </row>
    <row r="60" spans="1:5" ht="18" customHeight="1" x14ac:dyDescent="0.2">
      <c r="A60" s="100" t="s">
        <v>576</v>
      </c>
      <c r="B60" s="86"/>
      <c r="C60" s="86"/>
      <c r="D60" s="86"/>
      <c r="E60" s="86"/>
    </row>
    <row r="61" spans="1:5" ht="18" customHeight="1" x14ac:dyDescent="0.2">
      <c r="A61" s="104" t="s">
        <v>578</v>
      </c>
      <c r="B61" s="105"/>
      <c r="C61" s="105"/>
      <c r="D61" s="105"/>
      <c r="E61" s="105"/>
    </row>
    <row r="62" spans="1:5" ht="18" customHeight="1" x14ac:dyDescent="0.2">
      <c r="A62" s="100" t="s">
        <v>579</v>
      </c>
      <c r="B62" s="86"/>
      <c r="C62" s="86"/>
      <c r="D62" s="86"/>
      <c r="E62" s="86"/>
    </row>
    <row r="63" spans="1:5" ht="18" customHeight="1" x14ac:dyDescent="0.2">
      <c r="A63" s="104" t="s">
        <v>580</v>
      </c>
      <c r="B63" s="105"/>
      <c r="C63" s="105"/>
      <c r="D63" s="105"/>
      <c r="E63" s="105"/>
    </row>
    <row r="64" spans="1:5" ht="18" customHeight="1" x14ac:dyDescent="0.2">
      <c r="A64" s="100" t="s">
        <v>581</v>
      </c>
      <c r="B64" s="86"/>
      <c r="C64" s="86"/>
      <c r="D64" s="86"/>
      <c r="E64" s="86"/>
    </row>
    <row r="65" spans="1:5" ht="18" customHeight="1" x14ac:dyDescent="0.2">
      <c r="A65" s="104" t="s">
        <v>602</v>
      </c>
      <c r="B65" s="105"/>
      <c r="C65" s="105"/>
      <c r="D65" s="105"/>
      <c r="E65" s="105"/>
    </row>
    <row r="66" spans="1:5" ht="18" customHeight="1" x14ac:dyDescent="0.2">
      <c r="A66" s="86"/>
      <c r="B66" s="86"/>
      <c r="C66" s="86"/>
      <c r="D66" s="86"/>
      <c r="E66" s="86"/>
    </row>
    <row r="67" spans="1:5" ht="18" customHeight="1" x14ac:dyDescent="0.2">
      <c r="A67" s="105"/>
      <c r="B67" s="105"/>
      <c r="C67" s="105"/>
      <c r="D67" s="105"/>
      <c r="E67" s="105"/>
    </row>
    <row r="68" spans="1:5" ht="18" customHeight="1" x14ac:dyDescent="0.2">
      <c r="A68" s="86"/>
      <c r="B68" s="86"/>
      <c r="C68" s="86"/>
      <c r="D68" s="86"/>
      <c r="E68" s="86"/>
    </row>
    <row r="69" spans="1:5" ht="18" customHeight="1" x14ac:dyDescent="0.2">
      <c r="A69" s="105"/>
      <c r="B69" s="105"/>
      <c r="C69" s="105"/>
      <c r="D69" s="105"/>
      <c r="E69" s="105"/>
    </row>
    <row r="70" spans="1:5" ht="19.5" customHeight="1" x14ac:dyDescent="0.2">
      <c r="A70" s="106" t="s">
        <v>603</v>
      </c>
      <c r="B70" s="107">
        <f>SUM(B51:B69)</f>
        <v>0</v>
      </c>
      <c r="C70" s="107">
        <f>SUM(C51:C69)</f>
        <v>0</v>
      </c>
      <c r="D70" s="107">
        <f>SUM(D51:D69)</f>
        <v>0</v>
      </c>
      <c r="E70" s="88"/>
    </row>
    <row r="71" spans="1:5" ht="4.5" customHeight="1" x14ac:dyDescent="0.2">
      <c r="A71" s="108"/>
      <c r="B71" s="108"/>
      <c r="C71" s="108"/>
      <c r="D71" s="108"/>
      <c r="E71" s="108"/>
    </row>
    <row r="72" spans="1:5" ht="36" customHeight="1" x14ac:dyDescent="0.2">
      <c r="A72" s="103" t="s">
        <v>583</v>
      </c>
      <c r="B72" s="2" t="s">
        <v>562</v>
      </c>
      <c r="C72" s="3" t="s">
        <v>563</v>
      </c>
      <c r="D72" s="4" t="s">
        <v>564</v>
      </c>
      <c r="E72" s="5" t="s">
        <v>352</v>
      </c>
    </row>
    <row r="73" spans="1:5" ht="18" customHeight="1" x14ac:dyDescent="0.2">
      <c r="A73" s="104" t="s">
        <v>584</v>
      </c>
      <c r="B73" s="105"/>
      <c r="C73" s="105"/>
      <c r="D73" s="105"/>
      <c r="E73" s="105"/>
    </row>
    <row r="74" spans="1:5" ht="18" customHeight="1" x14ac:dyDescent="0.2">
      <c r="A74" s="100" t="s">
        <v>585</v>
      </c>
      <c r="B74" s="86"/>
      <c r="C74" s="86"/>
      <c r="D74" s="86"/>
      <c r="E74" s="86"/>
    </row>
    <row r="75" spans="1:5" ht="18" customHeight="1" x14ac:dyDescent="0.2">
      <c r="A75" s="104" t="s">
        <v>586</v>
      </c>
      <c r="B75" s="105"/>
      <c r="C75" s="105"/>
      <c r="D75" s="105"/>
      <c r="E75" s="105"/>
    </row>
    <row r="76" spans="1:5" ht="18" customHeight="1" x14ac:dyDescent="0.2">
      <c r="A76" s="100" t="s">
        <v>587</v>
      </c>
      <c r="B76" s="86"/>
      <c r="C76" s="86"/>
      <c r="D76" s="86"/>
      <c r="E76" s="86"/>
    </row>
    <row r="77" spans="1:5" ht="18" customHeight="1" x14ac:dyDescent="0.2">
      <c r="A77" s="104" t="s">
        <v>588</v>
      </c>
      <c r="B77" s="105"/>
      <c r="C77" s="105"/>
      <c r="D77" s="105"/>
      <c r="E77" s="105"/>
    </row>
    <row r="78" spans="1:5" ht="18" customHeight="1" x14ac:dyDescent="0.2">
      <c r="A78" s="100" t="s">
        <v>589</v>
      </c>
      <c r="B78" s="86"/>
      <c r="C78" s="86"/>
      <c r="D78" s="86"/>
      <c r="E78" s="86"/>
    </row>
    <row r="79" spans="1:5" ht="18" customHeight="1" x14ac:dyDescent="0.2">
      <c r="A79" s="104" t="s">
        <v>590</v>
      </c>
      <c r="B79" s="105"/>
      <c r="C79" s="105"/>
      <c r="D79" s="105"/>
      <c r="E79" s="105"/>
    </row>
    <row r="80" spans="1:5" ht="18" customHeight="1" x14ac:dyDescent="0.2">
      <c r="A80" s="100" t="s">
        <v>591</v>
      </c>
      <c r="B80" s="86"/>
      <c r="C80" s="86"/>
      <c r="D80" s="86"/>
      <c r="E80" s="86"/>
    </row>
    <row r="81" spans="1:5" ht="18" customHeight="1" x14ac:dyDescent="0.2">
      <c r="A81" s="104" t="s">
        <v>592</v>
      </c>
      <c r="B81" s="105"/>
      <c r="C81" s="105"/>
      <c r="D81" s="105"/>
      <c r="E81" s="105"/>
    </row>
    <row r="82" spans="1:5" ht="18" customHeight="1" x14ac:dyDescent="0.2">
      <c r="A82" s="100" t="s">
        <v>593</v>
      </c>
      <c r="B82" s="86"/>
      <c r="C82" s="86"/>
      <c r="D82" s="86"/>
      <c r="E82" s="86"/>
    </row>
    <row r="83" spans="1:5" ht="18" customHeight="1" x14ac:dyDescent="0.2">
      <c r="A83" s="104" t="s">
        <v>594</v>
      </c>
      <c r="B83" s="105"/>
      <c r="C83" s="105"/>
      <c r="D83" s="105"/>
      <c r="E83" s="105"/>
    </row>
    <row r="84" spans="1:5" ht="18" customHeight="1" x14ac:dyDescent="0.2">
      <c r="A84" s="100" t="s">
        <v>595</v>
      </c>
      <c r="B84" s="86"/>
      <c r="C84" s="86"/>
      <c r="D84" s="86"/>
      <c r="E84" s="86"/>
    </row>
    <row r="85" spans="1:5" ht="18" customHeight="1" x14ac:dyDescent="0.2">
      <c r="A85" s="104" t="s">
        <v>596</v>
      </c>
      <c r="B85" s="105"/>
      <c r="C85" s="105"/>
      <c r="D85" s="105"/>
      <c r="E85" s="105"/>
    </row>
    <row r="86" spans="1:5" ht="18" customHeight="1" x14ac:dyDescent="0.2">
      <c r="A86" s="86"/>
      <c r="B86" s="86"/>
      <c r="C86" s="86"/>
      <c r="D86" s="86"/>
      <c r="E86" s="86"/>
    </row>
    <row r="87" spans="1:5" ht="18" customHeight="1" x14ac:dyDescent="0.2">
      <c r="A87" s="105"/>
      <c r="B87" s="105"/>
      <c r="C87" s="105"/>
      <c r="D87" s="105"/>
      <c r="E87" s="105"/>
    </row>
    <row r="88" spans="1:5" ht="18" customHeight="1" x14ac:dyDescent="0.2">
      <c r="A88" s="86"/>
      <c r="B88" s="86"/>
      <c r="C88" s="86"/>
      <c r="D88" s="86"/>
      <c r="E88" s="86"/>
    </row>
    <row r="89" spans="1:5" ht="18" customHeight="1" x14ac:dyDescent="0.2">
      <c r="A89" s="105"/>
      <c r="B89" s="105"/>
      <c r="C89" s="105"/>
      <c r="D89" s="105"/>
      <c r="E89" s="105"/>
    </row>
    <row r="90" spans="1:5" ht="19.5" customHeight="1" x14ac:dyDescent="0.2">
      <c r="A90" s="106" t="s">
        <v>604</v>
      </c>
      <c r="B90" s="107">
        <f>SUM(B73:B89)</f>
        <v>0</v>
      </c>
      <c r="C90" s="107">
        <f>SUM(C71:C89)</f>
        <v>0</v>
      </c>
      <c r="D90" s="107">
        <f>SUM(D73:D89)</f>
        <v>0</v>
      </c>
      <c r="E90" s="88"/>
    </row>
    <row r="91" spans="1:5" ht="4.5" customHeight="1" x14ac:dyDescent="0.2">
      <c r="A91" s="108"/>
      <c r="B91" s="108"/>
      <c r="C91" s="108"/>
      <c r="D91" s="108"/>
      <c r="E91" s="108"/>
    </row>
    <row r="92" spans="1:5" ht="19.5" customHeight="1" x14ac:dyDescent="0.2">
      <c r="A92" s="110" t="s">
        <v>605</v>
      </c>
      <c r="B92" s="78">
        <f>(B70-B90)</f>
        <v>0</v>
      </c>
      <c r="C92" s="78">
        <f>C70-C90</f>
        <v>0</v>
      </c>
      <c r="D92" s="78">
        <f>D70-D90</f>
        <v>0</v>
      </c>
      <c r="E92" s="111"/>
    </row>
    <row r="93" spans="1:5" ht="4.5" customHeight="1" x14ac:dyDescent="0.2">
      <c r="A93" s="108"/>
      <c r="B93" s="108"/>
      <c r="C93" s="108"/>
      <c r="D93" s="108"/>
      <c r="E93" s="108"/>
    </row>
    <row r="94" spans="1:5" ht="4.5" customHeight="1" x14ac:dyDescent="0.2">
      <c r="A94" s="108"/>
      <c r="B94" s="108"/>
      <c r="C94" s="108"/>
      <c r="D94" s="108"/>
      <c r="E94" s="108"/>
    </row>
    <row r="95" spans="1:5" ht="21.75" customHeight="1" x14ac:dyDescent="0.2">
      <c r="A95" s="209" t="s">
        <v>606</v>
      </c>
      <c r="B95" s="177"/>
      <c r="C95" s="177"/>
      <c r="D95" s="177"/>
      <c r="E95" s="178"/>
    </row>
    <row r="96" spans="1:5" ht="36" customHeight="1" x14ac:dyDescent="0.2">
      <c r="A96" s="103" t="s">
        <v>607</v>
      </c>
      <c r="B96" s="2" t="s">
        <v>562</v>
      </c>
      <c r="C96" s="3" t="s">
        <v>563</v>
      </c>
      <c r="D96" s="4" t="s">
        <v>564</v>
      </c>
      <c r="E96" s="5" t="s">
        <v>352</v>
      </c>
    </row>
    <row r="97" spans="1:8" ht="19.5" customHeight="1" x14ac:dyDescent="0.2">
      <c r="A97" s="106" t="s">
        <v>608</v>
      </c>
      <c r="B97" s="107">
        <f>B24+B70</f>
        <v>8810.32</v>
      </c>
      <c r="C97" s="107">
        <f>C24+C70</f>
        <v>9803.15</v>
      </c>
      <c r="D97" s="107">
        <f>D24+D70</f>
        <v>3333</v>
      </c>
      <c r="E97" s="88"/>
    </row>
    <row r="98" spans="1:8" ht="19.5" customHeight="1" x14ac:dyDescent="0.2">
      <c r="A98" s="106" t="s">
        <v>583</v>
      </c>
      <c r="B98" s="107">
        <f>B45+B90</f>
        <v>1089.95</v>
      </c>
      <c r="C98" s="107">
        <f>C45+C90</f>
        <v>3008.76</v>
      </c>
      <c r="D98" s="107">
        <f>D45+D90</f>
        <v>0</v>
      </c>
      <c r="E98" s="88"/>
    </row>
    <row r="99" spans="1:8" ht="19.5" customHeight="1" x14ac:dyDescent="0.2">
      <c r="A99" s="110" t="s">
        <v>609</v>
      </c>
      <c r="B99" s="78">
        <f>B47+B92</f>
        <v>7720.37</v>
      </c>
      <c r="C99" s="78">
        <f>C47+C92</f>
        <v>6794.3899999999994</v>
      </c>
      <c r="D99" s="78">
        <f>D47+D92</f>
        <v>3333</v>
      </c>
      <c r="E99" s="111"/>
    </row>
    <row r="100" spans="1:8" ht="36" customHeight="1" x14ac:dyDescent="0.2">
      <c r="A100" s="103" t="s">
        <v>610</v>
      </c>
      <c r="B100" s="2" t="s">
        <v>562</v>
      </c>
      <c r="C100" s="3" t="s">
        <v>563</v>
      </c>
      <c r="D100" s="4" t="s">
        <v>564</v>
      </c>
      <c r="E100" s="5" t="s">
        <v>352</v>
      </c>
    </row>
    <row r="101" spans="1:8" ht="19.5" customHeight="1" x14ac:dyDescent="0.2">
      <c r="A101" s="106" t="s">
        <v>608</v>
      </c>
      <c r="B101" s="107">
        <f>B97*12</f>
        <v>105723.84</v>
      </c>
      <c r="C101" s="107">
        <f>C97*12</f>
        <v>117637.79999999999</v>
      </c>
      <c r="D101" s="107">
        <f>D97*12</f>
        <v>39996</v>
      </c>
      <c r="E101" s="88"/>
    </row>
    <row r="102" spans="1:8" ht="19.5" customHeight="1" x14ac:dyDescent="0.2">
      <c r="A102" s="110" t="s">
        <v>609</v>
      </c>
      <c r="B102" s="78">
        <f>B99*12</f>
        <v>92644.44</v>
      </c>
      <c r="C102" s="78">
        <f>C99*12</f>
        <v>81532.679999999993</v>
      </c>
      <c r="D102" s="78">
        <f>D99*12</f>
        <v>39996</v>
      </c>
      <c r="E102" s="111"/>
    </row>
    <row r="103" spans="1:8" ht="4.5" customHeight="1" x14ac:dyDescent="0.2">
      <c r="A103" s="88"/>
      <c r="B103" s="88"/>
      <c r="C103" s="88"/>
      <c r="D103" s="88"/>
      <c r="E103" s="88"/>
      <c r="F103" s="88"/>
      <c r="G103" s="88"/>
      <c r="H103" s="88"/>
    </row>
    <row r="104" spans="1:8" ht="4.5" customHeight="1" x14ac:dyDescent="0.2">
      <c r="A104" s="88"/>
      <c r="B104" s="88"/>
      <c r="C104" s="88"/>
      <c r="D104" s="88"/>
      <c r="E104" s="88"/>
      <c r="F104" s="88"/>
      <c r="G104" s="88"/>
      <c r="H104" s="88"/>
    </row>
    <row r="105" spans="1:8" ht="31.5" customHeight="1" x14ac:dyDescent="0.2">
      <c r="A105" s="223" t="s">
        <v>611</v>
      </c>
      <c r="B105" s="173"/>
      <c r="C105" s="173"/>
      <c r="D105" s="173"/>
      <c r="E105" s="173"/>
    </row>
    <row r="106" spans="1:8" ht="21.75" customHeight="1" x14ac:dyDescent="0.2">
      <c r="A106" s="112" t="s">
        <v>612</v>
      </c>
      <c r="B106" s="113">
        <v>0</v>
      </c>
      <c r="C106" s="222" t="str">
        <f>IF(B106=0,"Viewing: Current (Year 0)","Viewing: Year "&amp;B106&amp;" — "&amp;TEXT(2026+B106,"0")&amp;"  (Age "&amp;TEXT(36+B106,"0")&amp;")")</f>
        <v>Viewing: Current (Year 0)</v>
      </c>
      <c r="D106" s="177"/>
      <c r="E106" s="178"/>
    </row>
    <row r="107" spans="1:8" ht="4.5" customHeight="1" x14ac:dyDescent="0.2">
      <c r="A107" s="88"/>
      <c r="B107" s="88"/>
      <c r="C107" s="88"/>
      <c r="D107" s="88"/>
      <c r="E107" s="88"/>
    </row>
    <row r="108" spans="1:8" ht="36" customHeight="1" x14ac:dyDescent="0.2">
      <c r="A108" s="5" t="s">
        <v>273</v>
      </c>
      <c r="B108" s="2" t="s">
        <v>274</v>
      </c>
      <c r="C108" s="3" t="s">
        <v>275</v>
      </c>
      <c r="D108" s="4" t="s">
        <v>276</v>
      </c>
      <c r="E108" s="5" t="s">
        <v>352</v>
      </c>
    </row>
    <row r="109" spans="1:8" ht="21.75" customHeight="1" x14ac:dyDescent="0.2">
      <c r="A109" s="184" t="s">
        <v>613</v>
      </c>
      <c r="B109" s="177"/>
      <c r="C109" s="177"/>
      <c r="D109" s="177"/>
      <c r="E109" s="178"/>
    </row>
    <row r="110" spans="1:8" ht="18" customHeight="1" x14ac:dyDescent="0.2">
      <c r="A110" s="83" t="s">
        <v>478</v>
      </c>
      <c r="B110" s="45">
        <f>IF(B106=0,B97,INDEX(PROJECTIONS!$E$5:$E$55,B106+1))</f>
        <v>8810.32</v>
      </c>
      <c r="C110" s="45">
        <f>IF(B106=0,C97,INDEX(PROJECTIONS!$N$5:$N$55,B106+1))</f>
        <v>9803.15</v>
      </c>
      <c r="D110" s="45">
        <f>IF(B106=0,D97,INDEX(PROJECTIONS!$W$5:$W$55,B106+1))</f>
        <v>3333</v>
      </c>
      <c r="E110" s="114" t="s">
        <v>614</v>
      </c>
    </row>
    <row r="111" spans="1:8" ht="18" customHeight="1" x14ac:dyDescent="0.2">
      <c r="A111" s="85" t="s">
        <v>483</v>
      </c>
      <c r="B111" s="39" t="str">
        <f>IF(B106=0,"",INDEX(PROJECTIONS!$F$5:$F$55,B106+1))</f>
        <v/>
      </c>
      <c r="C111" s="39" t="str">
        <f>IF(B106=0,"",INDEX(PROJECTIONS!$O$5:$O$55,B106+1))</f>
        <v/>
      </c>
      <c r="D111" s="39" t="str">
        <f>IF(B106=0,"",INDEX(PROJECTIONS!$X$5:$X$55,B106+1))</f>
        <v/>
      </c>
      <c r="E111" s="115" t="s">
        <v>615</v>
      </c>
    </row>
    <row r="112" spans="1:8" ht="18" customHeight="1" x14ac:dyDescent="0.2">
      <c r="A112" s="83" t="s">
        <v>489</v>
      </c>
      <c r="B112" s="45" t="str">
        <f>IF(B106=0,"",INDEX(PROJECTIONS!$G$5:$G$55,B106+1))</f>
        <v/>
      </c>
      <c r="C112" s="45" t="str">
        <f>IF(B106=0,"",INDEX(PROJECTIONS!$P$5:$P$55,B106+1))</f>
        <v/>
      </c>
      <c r="D112" s="45" t="str">
        <f>IF(B106=0,"",INDEX(PROJECTIONS!$Y$5:$Y$55,B106+1))</f>
        <v/>
      </c>
      <c r="E112" s="114" t="s">
        <v>616</v>
      </c>
    </row>
    <row r="113" spans="1:8" ht="18" customHeight="1" x14ac:dyDescent="0.2">
      <c r="A113" s="85" t="s">
        <v>494</v>
      </c>
      <c r="B113" s="39" t="str">
        <f>IF(B106=0,"",INDEX(PROJECTIONS!$H$5:$H$55,B106+1))</f>
        <v/>
      </c>
      <c r="C113" s="39" t="str">
        <f>IF(B106=0,"",INDEX(PROJECTIONS!$Q$5:$Q$55,B106+1))</f>
        <v/>
      </c>
      <c r="D113" s="39" t="str">
        <f>IF(B106=0,"",INDEX(PROJECTIONS!$Z$5:$Z$55,B106+1))</f>
        <v/>
      </c>
      <c r="E113" s="115" t="s">
        <v>617</v>
      </c>
    </row>
    <row r="114" spans="1:8" ht="4.5" customHeight="1" x14ac:dyDescent="0.2">
      <c r="A114" s="88"/>
      <c r="B114" s="88"/>
      <c r="C114" s="88"/>
      <c r="D114" s="88"/>
      <c r="E114" s="88"/>
    </row>
    <row r="115" spans="1:8" ht="21.75" customHeight="1" x14ac:dyDescent="0.2">
      <c r="A115" s="179" t="s">
        <v>618</v>
      </c>
      <c r="B115" s="177"/>
      <c r="C115" s="177"/>
      <c r="D115" s="177"/>
      <c r="E115" s="178"/>
    </row>
    <row r="116" spans="1:8" ht="18" customHeight="1" x14ac:dyDescent="0.2">
      <c r="A116" s="116" t="s">
        <v>504</v>
      </c>
      <c r="B116" s="69" t="str">
        <f>IF(B106=0,"",INDEX(PROJECTIONS!$J$5:$J$55,B106+1))</f>
        <v/>
      </c>
      <c r="C116" s="69" t="str">
        <f>IF(B106=0,"",INDEX(PROJECTIONS!$S$5:$S$55,B106+1))</f>
        <v/>
      </c>
      <c r="D116" s="69" t="str">
        <f>IF(B106=0,"",INDEX(PROJECTIONS!$AB$5,B106+1))</f>
        <v/>
      </c>
      <c r="E116" s="117" t="s">
        <v>619</v>
      </c>
    </row>
    <row r="117" spans="1:8" ht="18" customHeight="1" x14ac:dyDescent="0.2">
      <c r="A117" s="85" t="s">
        <v>499</v>
      </c>
      <c r="B117" s="39" t="str">
        <f>IF(B106=0,"",INDEX(PROJECTIONS!$I$5:$I$55,B106+1))</f>
        <v/>
      </c>
      <c r="C117" s="39" t="str">
        <f>IF(B106=0,"",INDEX(PROJECTIONS!$R$5:$R$55,B106+1))</f>
        <v/>
      </c>
      <c r="D117" s="39" t="str">
        <f>IF(B106=0,"",INDEX(PROJECTIONS!$AA$5,B106+1))</f>
        <v/>
      </c>
      <c r="E117" s="115" t="s">
        <v>620</v>
      </c>
    </row>
    <row r="118" spans="1:8" ht="18" customHeight="1" x14ac:dyDescent="0.2">
      <c r="A118" s="116" t="s">
        <v>509</v>
      </c>
      <c r="B118" s="69" t="str">
        <f>IF(B106=0,"",INDEX(PROJECTIONS!$K$5:$K$55,B106+1))</f>
        <v/>
      </c>
      <c r="C118" s="69" t="str">
        <f>IF(B106=0,"",INDEX(PROJECTIONS!$T$5:$T$55,B106+1))</f>
        <v/>
      </c>
      <c r="D118" s="69" t="str">
        <f>IF(B106=0,"",INDEX(PROJECTIONS!$AC$5,B106+1))</f>
        <v/>
      </c>
      <c r="E118" s="117" t="s">
        <v>621</v>
      </c>
    </row>
    <row r="119" spans="1:8" ht="18" customHeight="1" x14ac:dyDescent="0.2">
      <c r="A119" s="85" t="s">
        <v>514</v>
      </c>
      <c r="B119" s="39" t="str">
        <f>IF(B106=0,"",INDEX(PROJECTIONS!$L$5:$L$55,B106+1))</f>
        <v/>
      </c>
      <c r="C119" s="39" t="str">
        <f>IF(B106=0,"",INDEX(PROJECTIONS!$U$5:$U$55,B106+1))</f>
        <v/>
      </c>
      <c r="D119" s="39" t="str">
        <f>IF(B106=0,"",INDEX(PROJECTIONS!$AD$5,B106+1))</f>
        <v/>
      </c>
      <c r="E119" s="115" t="s">
        <v>622</v>
      </c>
    </row>
    <row r="120" spans="1:8" ht="4.5" customHeight="1" x14ac:dyDescent="0.2">
      <c r="A120" s="88"/>
      <c r="B120" s="88"/>
      <c r="C120" s="88"/>
      <c r="D120" s="88"/>
      <c r="E120" s="88"/>
    </row>
    <row r="121" spans="1:8" ht="21.75" customHeight="1" x14ac:dyDescent="0.2">
      <c r="A121" s="179" t="s">
        <v>623</v>
      </c>
      <c r="B121" s="177"/>
      <c r="C121" s="177"/>
      <c r="D121" s="177"/>
      <c r="E121" s="178"/>
    </row>
    <row r="122" spans="1:8" ht="18" customHeight="1" x14ac:dyDescent="0.2">
      <c r="A122" s="118" t="s">
        <v>624</v>
      </c>
      <c r="B122" s="224" t="str">
        <f>IF(B106=0,"Current: Active Duty",INDEX(PROJECTIONS!$D$5:$D$55,B106+1))</f>
        <v>Current: Active Duty</v>
      </c>
      <c r="C122" s="177"/>
      <c r="D122" s="177"/>
      <c r="E122" s="178"/>
    </row>
    <row r="123" spans="1:8" ht="18" customHeight="1" x14ac:dyDescent="0.2">
      <c r="A123" s="120" t="s">
        <v>625</v>
      </c>
      <c r="B123" s="220" t="str">
        <f>IF(B106=0,"Current: Active Duty",INDEX(PROJECTIONS!$M$5:$M$55,B106+1))</f>
        <v>Current: Active Duty</v>
      </c>
      <c r="C123" s="177"/>
      <c r="D123" s="177"/>
      <c r="E123" s="178"/>
    </row>
    <row r="124" spans="1:8" ht="18" customHeight="1" x14ac:dyDescent="0.2">
      <c r="A124" s="121" t="s">
        <v>626</v>
      </c>
      <c r="B124" s="218" t="str">
        <f>IF(B106=0,"Current: Active Duty",INDEX(PROJECTIONS!$V$5:$V$55,B106+1))</f>
        <v>Current: Active Duty</v>
      </c>
      <c r="C124" s="177"/>
      <c r="D124" s="177"/>
      <c r="E124" s="178"/>
    </row>
    <row r="125" spans="1:8" ht="4.5" customHeight="1" x14ac:dyDescent="0.2">
      <c r="A125" s="88"/>
      <c r="B125" s="88"/>
      <c r="C125" s="88"/>
      <c r="D125" s="88"/>
      <c r="E125" s="88"/>
    </row>
    <row r="126" spans="1:8" ht="15.75" customHeight="1" x14ac:dyDescent="0.2">
      <c r="A126" s="175" t="s">
        <v>627</v>
      </c>
      <c r="B126" s="173"/>
      <c r="C126" s="173"/>
      <c r="D126" s="173"/>
      <c r="E126" s="173"/>
    </row>
    <row r="127" spans="1:8" ht="6" customHeight="1" x14ac:dyDescent="0.2">
      <c r="A127" s="22"/>
      <c r="B127" s="22"/>
      <c r="C127" s="22"/>
      <c r="D127" s="22"/>
      <c r="E127" s="22"/>
      <c r="F127" s="22"/>
      <c r="G127" s="22"/>
      <c r="H127" s="22"/>
    </row>
    <row r="128" spans="1:8" ht="25.5" customHeight="1" x14ac:dyDescent="0.2">
      <c r="A128" s="221" t="s">
        <v>628</v>
      </c>
      <c r="B128" s="173"/>
      <c r="C128" s="173"/>
      <c r="D128" s="173"/>
      <c r="E128" s="173"/>
      <c r="F128" s="173"/>
      <c r="G128" s="173"/>
      <c r="H128" s="173"/>
    </row>
    <row r="130" spans="1:8" ht="21.75" customHeight="1" x14ac:dyDescent="0.2">
      <c r="A130" s="225" t="s">
        <v>629</v>
      </c>
      <c r="B130" s="178"/>
      <c r="C130" s="210" t="s">
        <v>630</v>
      </c>
      <c r="D130" s="177"/>
      <c r="E130" s="177"/>
      <c r="F130" s="177"/>
      <c r="G130" s="177"/>
      <c r="H130" s="178"/>
    </row>
    <row r="131" spans="1:8" ht="21.75" customHeight="1" x14ac:dyDescent="0.2">
      <c r="A131" s="212">
        <v>4293</v>
      </c>
      <c r="B131" s="178"/>
      <c r="C131" s="210" t="s">
        <v>631</v>
      </c>
      <c r="D131" s="177"/>
      <c r="E131" s="177"/>
      <c r="F131" s="177"/>
      <c r="G131" s="177"/>
      <c r="H131" s="178"/>
    </row>
    <row r="132" spans="1:8" ht="21.75" customHeight="1" x14ac:dyDescent="0.2">
      <c r="A132" s="219">
        <f>INCOME!B97</f>
        <v>8810.32</v>
      </c>
      <c r="B132" s="178"/>
      <c r="C132" s="210" t="s">
        <v>632</v>
      </c>
      <c r="D132" s="177"/>
      <c r="E132" s="177"/>
      <c r="F132" s="177"/>
      <c r="G132" s="177"/>
      <c r="H132" s="178"/>
    </row>
    <row r="133" spans="1:8" ht="21.75" customHeight="1" x14ac:dyDescent="0.2">
      <c r="A133" s="215" t="s">
        <v>633</v>
      </c>
      <c r="B133" s="178"/>
      <c r="C133" s="210" t="s">
        <v>634</v>
      </c>
      <c r="D133" s="177"/>
      <c r="E133" s="177"/>
      <c r="F133" s="177"/>
      <c r="G133" s="177"/>
      <c r="H133" s="178"/>
    </row>
    <row r="134" spans="1:8" ht="21.75" customHeight="1" x14ac:dyDescent="0.2">
      <c r="A134" s="213" t="s">
        <v>635</v>
      </c>
      <c r="B134" s="178"/>
      <c r="C134" s="210" t="s">
        <v>636</v>
      </c>
      <c r="D134" s="177"/>
      <c r="E134" s="177"/>
      <c r="F134" s="177"/>
      <c r="G134" s="177"/>
      <c r="H134" s="178"/>
    </row>
    <row r="135" spans="1:8" ht="21.75" customHeight="1" x14ac:dyDescent="0.2">
      <c r="A135" s="211" t="s">
        <v>637</v>
      </c>
      <c r="B135" s="178"/>
      <c r="C135" s="210" t="s">
        <v>638</v>
      </c>
      <c r="D135" s="177"/>
      <c r="E135" s="177"/>
      <c r="F135" s="177"/>
      <c r="G135" s="177"/>
      <c r="H135" s="178"/>
    </row>
    <row r="136" spans="1:8" ht="21.75" customHeight="1" x14ac:dyDescent="0.2">
      <c r="A136" s="216" t="s">
        <v>639</v>
      </c>
      <c r="B136" s="178"/>
      <c r="C136" s="210" t="s">
        <v>640</v>
      </c>
      <c r="D136" s="177"/>
      <c r="E136" s="177"/>
      <c r="F136" s="177"/>
      <c r="G136" s="177"/>
      <c r="H136" s="178"/>
    </row>
    <row r="137" spans="1:8" ht="21.75" customHeight="1" x14ac:dyDescent="0.2">
      <c r="A137" s="214" t="s">
        <v>641</v>
      </c>
      <c r="B137" s="178"/>
      <c r="C137" s="210" t="s">
        <v>642</v>
      </c>
      <c r="D137" s="177"/>
      <c r="E137" s="177"/>
      <c r="F137" s="177"/>
      <c r="G137" s="177"/>
      <c r="H137" s="178"/>
    </row>
    <row r="139" spans="1:8" ht="39.75" customHeight="1" x14ac:dyDescent="0.2">
      <c r="A139" s="208" t="s">
        <v>643</v>
      </c>
      <c r="B139" s="173"/>
      <c r="C139" s="173"/>
      <c r="D139" s="173"/>
      <c r="E139" s="173"/>
      <c r="F139" s="173"/>
      <c r="G139" s="173"/>
      <c r="H139" s="173"/>
    </row>
  </sheetData>
  <mergeCells count="31">
    <mergeCell ref="C135:H135"/>
    <mergeCell ref="A136:B136"/>
    <mergeCell ref="A1:E1"/>
    <mergeCell ref="B124:E124"/>
    <mergeCell ref="A132:B132"/>
    <mergeCell ref="B123:E123"/>
    <mergeCell ref="C130:H130"/>
    <mergeCell ref="C132:H132"/>
    <mergeCell ref="A128:H128"/>
    <mergeCell ref="C106:E106"/>
    <mergeCell ref="A105:E105"/>
    <mergeCell ref="B122:E122"/>
    <mergeCell ref="A4:E4"/>
    <mergeCell ref="A130:B130"/>
    <mergeCell ref="A49:E49"/>
    <mergeCell ref="A139:H139"/>
    <mergeCell ref="A95:E95"/>
    <mergeCell ref="C131:H131"/>
    <mergeCell ref="C136:H136"/>
    <mergeCell ref="A135:B135"/>
    <mergeCell ref="A126:E126"/>
    <mergeCell ref="A131:B131"/>
    <mergeCell ref="A109:E109"/>
    <mergeCell ref="A134:B134"/>
    <mergeCell ref="A121:E121"/>
    <mergeCell ref="A115:E115"/>
    <mergeCell ref="C134:H134"/>
    <mergeCell ref="C137:H137"/>
    <mergeCell ref="C133:H133"/>
    <mergeCell ref="A137:B137"/>
    <mergeCell ref="A133:B133"/>
  </mergeCells>
  <dataValidations count="2">
    <dataValidation type="whole" showErrorMessage="1" errorTitle="Invalid Year" error="Enter 0 (current) through 50" sqref="H2" xr:uid="{00000000-0002-0000-0600-000000000000}">
      <formula1>0</formula1>
      <formula2>50</formula2>
    </dataValidation>
    <dataValidation type="list" showErrorMessage="1" errorTitle="Invalid Year" error="Enter an integer 0 through 50" sqref="B106" xr:uid="{00000000-0002-0000-0600-000001000000}">
      <formula1>"0,1,2,3,4,5,6,7,8,9,10,11,12,13,14,15,16,17,18,19,20,21,22,23,24,25,26,27,28,29,30,31,32,33,34,35,36,37,38,39,40,41,42,43,44,45,46,47,48,49,50"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4"/>
  <sheetViews>
    <sheetView zoomScaleNormal="100" workbookViewId="0"/>
  </sheetViews>
  <sheetFormatPr baseColWidth="10" defaultColWidth="8.6640625" defaultRowHeight="15" customHeight="1" x14ac:dyDescent="0.2"/>
  <cols>
    <col min="1" max="1" width="32" customWidth="1"/>
    <col min="2" max="4" width="20" customWidth="1"/>
    <col min="5" max="5" width="40" customWidth="1"/>
    <col min="7" max="7" width="28" customWidth="1"/>
    <col min="8" max="8" width="24" customWidth="1"/>
  </cols>
  <sheetData>
    <row r="1" spans="1:8" ht="31.5" customHeight="1" x14ac:dyDescent="0.2">
      <c r="A1" s="207" t="s">
        <v>644</v>
      </c>
      <c r="B1" s="177"/>
      <c r="C1" s="177"/>
      <c r="D1" s="177"/>
      <c r="E1" s="178"/>
      <c r="G1" s="97"/>
      <c r="H1" s="98"/>
    </row>
    <row r="2" spans="1:8" ht="18" customHeight="1" x14ac:dyDescent="0.2">
      <c r="A2" s="7" t="s">
        <v>561</v>
      </c>
      <c r="B2" s="7" t="s">
        <v>645</v>
      </c>
      <c r="C2" s="7" t="s">
        <v>646</v>
      </c>
      <c r="D2" s="7" t="s">
        <v>646</v>
      </c>
      <c r="E2" s="102"/>
      <c r="G2" s="100"/>
      <c r="H2" s="101"/>
    </row>
    <row r="3" spans="1:8" ht="18" customHeight="1" x14ac:dyDescent="0.2">
      <c r="A3" s="102"/>
      <c r="B3" s="18">
        <f>INCOME!B3</f>
        <v>0</v>
      </c>
      <c r="C3" s="18">
        <f>INCOME!C3</f>
        <v>0</v>
      </c>
      <c r="D3" s="18">
        <f>INCOME!D3</f>
        <v>0</v>
      </c>
      <c r="E3" s="102"/>
      <c r="G3" s="100"/>
      <c r="H3" s="98"/>
    </row>
    <row r="4" spans="1:8" ht="18" customHeight="1" x14ac:dyDescent="0.2">
      <c r="A4" s="7" t="s">
        <v>647</v>
      </c>
      <c r="B4" s="7" t="s">
        <v>648</v>
      </c>
      <c r="C4" s="7" t="s">
        <v>649</v>
      </c>
      <c r="D4" s="7" t="s">
        <v>564</v>
      </c>
      <c r="E4" s="9" t="s">
        <v>650</v>
      </c>
      <c r="G4" s="98"/>
      <c r="H4" s="98"/>
    </row>
    <row r="5" spans="1:8" ht="18" customHeight="1" x14ac:dyDescent="0.2">
      <c r="A5" s="122" t="s">
        <v>651</v>
      </c>
      <c r="B5" s="18">
        <f>SUM(B6:B12)</f>
        <v>500</v>
      </c>
      <c r="C5" s="18">
        <f>SUM(C6:C12)</f>
        <v>2600</v>
      </c>
      <c r="D5" s="18">
        <f>SUM(D6:D12)</f>
        <v>2580</v>
      </c>
      <c r="E5" s="102"/>
      <c r="G5" s="100"/>
      <c r="H5" s="39"/>
    </row>
    <row r="6" spans="1:8" ht="18" customHeight="1" x14ac:dyDescent="0.2">
      <c r="A6" s="7" t="s">
        <v>652</v>
      </c>
      <c r="B6" s="16">
        <v>0</v>
      </c>
      <c r="C6" s="16">
        <v>0</v>
      </c>
      <c r="D6" s="102"/>
      <c r="E6" s="102"/>
      <c r="G6" s="100"/>
      <c r="H6" s="39"/>
    </row>
    <row r="7" spans="1:8" ht="18" customHeight="1" x14ac:dyDescent="0.2">
      <c r="A7" s="7" t="s">
        <v>653</v>
      </c>
      <c r="B7" s="16">
        <v>0</v>
      </c>
      <c r="C7" s="16">
        <v>0</v>
      </c>
      <c r="D7" s="102"/>
      <c r="E7" s="102"/>
      <c r="G7" s="100"/>
      <c r="H7" s="39"/>
    </row>
    <row r="8" spans="1:8" ht="18" customHeight="1" x14ac:dyDescent="0.2">
      <c r="A8" s="7" t="s">
        <v>654</v>
      </c>
      <c r="B8" s="16">
        <v>0</v>
      </c>
      <c r="C8" s="16">
        <v>0</v>
      </c>
      <c r="D8" s="102"/>
      <c r="E8" s="102"/>
      <c r="G8" s="100"/>
      <c r="H8" s="39"/>
    </row>
    <row r="9" spans="1:8" ht="18" customHeight="1" x14ac:dyDescent="0.2">
      <c r="A9" s="7" t="s">
        <v>655</v>
      </c>
      <c r="B9" s="16">
        <v>0</v>
      </c>
      <c r="C9" s="16">
        <v>0</v>
      </c>
      <c r="D9" s="102"/>
      <c r="E9" s="102"/>
      <c r="G9" s="100"/>
      <c r="H9" s="123"/>
    </row>
    <row r="10" spans="1:8" ht="18" customHeight="1" x14ac:dyDescent="0.2">
      <c r="A10" s="7" t="s">
        <v>656</v>
      </c>
      <c r="B10" s="16">
        <v>500</v>
      </c>
      <c r="C10" s="16">
        <v>2500</v>
      </c>
      <c r="D10" s="16">
        <v>2500</v>
      </c>
      <c r="E10" s="9" t="s">
        <v>657</v>
      </c>
      <c r="G10" s="98"/>
      <c r="H10" s="98"/>
    </row>
    <row r="11" spans="1:8" ht="18" customHeight="1" x14ac:dyDescent="0.2">
      <c r="A11" s="7" t="s">
        <v>658</v>
      </c>
      <c r="B11" s="102"/>
      <c r="C11" s="16">
        <v>100</v>
      </c>
      <c r="D11" s="16">
        <v>80</v>
      </c>
      <c r="E11" s="9" t="s">
        <v>659</v>
      </c>
      <c r="G11" s="98"/>
      <c r="H11" s="98"/>
    </row>
    <row r="12" spans="1:8" ht="18" customHeight="1" x14ac:dyDescent="0.2">
      <c r="A12" s="102"/>
      <c r="B12" s="102"/>
      <c r="C12" s="102"/>
      <c r="D12" s="102"/>
      <c r="E12" s="102"/>
      <c r="G12" s="98"/>
      <c r="H12" s="98"/>
    </row>
    <row r="13" spans="1:8" ht="18" customHeight="1" x14ac:dyDescent="0.2">
      <c r="A13" s="122" t="s">
        <v>660</v>
      </c>
      <c r="B13" s="18">
        <f>SUM(B14:B20)</f>
        <v>103.82</v>
      </c>
      <c r="C13" s="18">
        <f>SUM(C14:C20)</f>
        <v>103.82</v>
      </c>
      <c r="D13" s="18">
        <f>SUM(D14:D20)</f>
        <v>164</v>
      </c>
      <c r="E13" s="102"/>
      <c r="G13" s="98"/>
      <c r="H13" s="98"/>
    </row>
    <row r="14" spans="1:8" ht="18" customHeight="1" x14ac:dyDescent="0.2">
      <c r="A14" s="7" t="s">
        <v>661</v>
      </c>
      <c r="B14" s="16">
        <v>0</v>
      </c>
      <c r="C14" s="16">
        <v>0</v>
      </c>
      <c r="D14" s="102"/>
      <c r="E14" s="102"/>
      <c r="G14" s="98"/>
      <c r="H14" s="98"/>
    </row>
    <row r="15" spans="1:8" ht="18" customHeight="1" x14ac:dyDescent="0.2">
      <c r="A15" s="7" t="s">
        <v>662</v>
      </c>
      <c r="B15" s="16">
        <v>25</v>
      </c>
      <c r="C15" s="16">
        <v>25</v>
      </c>
      <c r="D15" s="16">
        <v>25</v>
      </c>
      <c r="E15" s="9" t="s">
        <v>663</v>
      </c>
      <c r="G15" s="98"/>
      <c r="H15" s="98"/>
    </row>
    <row r="16" spans="1:8" ht="18" customHeight="1" x14ac:dyDescent="0.2">
      <c r="A16" s="7" t="s">
        <v>664</v>
      </c>
      <c r="B16" s="16">
        <v>78.819999999999993</v>
      </c>
      <c r="C16" s="16">
        <v>78.819999999999993</v>
      </c>
      <c r="D16" s="16">
        <v>79</v>
      </c>
      <c r="E16" s="9" t="s">
        <v>665</v>
      </c>
      <c r="G16" s="98"/>
      <c r="H16" s="98"/>
    </row>
    <row r="17" spans="1:8" ht="18" customHeight="1" x14ac:dyDescent="0.2">
      <c r="A17" s="7" t="s">
        <v>666</v>
      </c>
      <c r="B17" s="16">
        <v>0</v>
      </c>
      <c r="C17" s="16">
        <v>0</v>
      </c>
      <c r="D17" s="16">
        <v>60</v>
      </c>
      <c r="E17" s="9" t="s">
        <v>667</v>
      </c>
      <c r="G17" s="98"/>
      <c r="H17" s="98"/>
    </row>
    <row r="18" spans="1:8" ht="18" customHeight="1" x14ac:dyDescent="0.2">
      <c r="A18" s="7" t="s">
        <v>668</v>
      </c>
      <c r="B18" s="16">
        <v>0</v>
      </c>
      <c r="C18" s="16">
        <v>0</v>
      </c>
      <c r="D18" s="102"/>
      <c r="E18" s="102"/>
      <c r="G18" s="98"/>
      <c r="H18" s="98"/>
    </row>
    <row r="19" spans="1:8" ht="18" customHeight="1" x14ac:dyDescent="0.2">
      <c r="A19" s="7" t="s">
        <v>669</v>
      </c>
      <c r="B19" s="16">
        <v>0</v>
      </c>
      <c r="C19" s="16">
        <v>0</v>
      </c>
      <c r="D19" s="102"/>
      <c r="E19" s="102"/>
      <c r="G19" s="98"/>
      <c r="H19" s="98"/>
    </row>
    <row r="20" spans="1:8" ht="18" customHeight="1" x14ac:dyDescent="0.2">
      <c r="A20" s="7" t="s">
        <v>670</v>
      </c>
      <c r="B20" s="16">
        <v>0</v>
      </c>
      <c r="C20" s="102"/>
      <c r="D20" s="102"/>
      <c r="E20" s="102"/>
      <c r="G20" s="98"/>
      <c r="H20" s="98"/>
    </row>
    <row r="21" spans="1:8" ht="18" customHeight="1" x14ac:dyDescent="0.2">
      <c r="A21" s="122" t="s">
        <v>671</v>
      </c>
      <c r="B21" s="18">
        <f>SUM(B22:B29)</f>
        <v>490</v>
      </c>
      <c r="C21" s="18">
        <f>SUM(C22:C29)</f>
        <v>290</v>
      </c>
      <c r="D21" s="18">
        <f>SUM(D22:D29)</f>
        <v>245</v>
      </c>
      <c r="E21" s="102"/>
      <c r="G21" s="98"/>
      <c r="H21" s="98"/>
    </row>
    <row r="22" spans="1:8" ht="18" customHeight="1" x14ac:dyDescent="0.2">
      <c r="A22" s="7" t="s">
        <v>672</v>
      </c>
      <c r="B22" s="16">
        <v>400</v>
      </c>
      <c r="C22" s="16">
        <v>200</v>
      </c>
      <c r="D22" s="16">
        <v>80</v>
      </c>
      <c r="E22" s="9" t="s">
        <v>673</v>
      </c>
      <c r="G22" s="98"/>
      <c r="H22" s="98"/>
    </row>
    <row r="23" spans="1:8" ht="18" customHeight="1" x14ac:dyDescent="0.2">
      <c r="A23" s="7" t="s">
        <v>674</v>
      </c>
      <c r="B23" s="16">
        <v>0</v>
      </c>
      <c r="C23" s="16">
        <v>0</v>
      </c>
      <c r="D23" s="102"/>
      <c r="E23" s="102"/>
      <c r="G23" s="98"/>
      <c r="H23" s="98"/>
    </row>
    <row r="24" spans="1:8" ht="18" customHeight="1" x14ac:dyDescent="0.2">
      <c r="A24" s="7" t="s">
        <v>675</v>
      </c>
      <c r="B24" s="16">
        <v>15</v>
      </c>
      <c r="C24" s="16">
        <v>15</v>
      </c>
      <c r="D24" s="16">
        <v>15</v>
      </c>
      <c r="E24" s="102"/>
      <c r="G24" s="98"/>
      <c r="H24" s="98"/>
    </row>
    <row r="25" spans="1:8" ht="18" customHeight="1" x14ac:dyDescent="0.2">
      <c r="A25" s="7" t="s">
        <v>676</v>
      </c>
      <c r="B25" s="16">
        <v>0</v>
      </c>
      <c r="C25" s="16">
        <v>0</v>
      </c>
      <c r="D25" s="16">
        <v>100</v>
      </c>
      <c r="E25" s="9" t="s">
        <v>677</v>
      </c>
      <c r="G25" s="98"/>
      <c r="H25" s="98"/>
    </row>
    <row r="26" spans="1:8" ht="18" customHeight="1" x14ac:dyDescent="0.2">
      <c r="A26" s="7" t="s">
        <v>678</v>
      </c>
      <c r="B26" s="16">
        <v>75</v>
      </c>
      <c r="C26" s="16">
        <v>75</v>
      </c>
      <c r="D26" s="16">
        <v>50</v>
      </c>
      <c r="E26" s="9" t="s">
        <v>679</v>
      </c>
      <c r="G26" s="98"/>
      <c r="H26" s="98"/>
    </row>
    <row r="27" spans="1:8" ht="18" customHeight="1" x14ac:dyDescent="0.2">
      <c r="A27" s="102"/>
      <c r="B27" s="102"/>
      <c r="C27" s="102"/>
      <c r="D27" s="102"/>
      <c r="E27" s="102"/>
      <c r="G27" s="98"/>
      <c r="H27" s="98"/>
    </row>
    <row r="28" spans="1:8" ht="18" customHeight="1" x14ac:dyDescent="0.2">
      <c r="A28" s="102"/>
      <c r="B28" s="102"/>
      <c r="C28" s="102"/>
      <c r="D28" s="102"/>
      <c r="E28" s="102"/>
      <c r="G28" s="98"/>
      <c r="H28" s="98"/>
    </row>
    <row r="29" spans="1:8" ht="18" customHeight="1" x14ac:dyDescent="0.2">
      <c r="A29" s="102"/>
      <c r="B29" s="102"/>
      <c r="C29" s="102"/>
      <c r="D29" s="102"/>
      <c r="E29" s="102"/>
      <c r="G29" s="98"/>
      <c r="H29" s="98"/>
    </row>
    <row r="30" spans="1:8" ht="18" customHeight="1" x14ac:dyDescent="0.2">
      <c r="A30" s="122" t="s">
        <v>680</v>
      </c>
      <c r="B30" s="18">
        <f>SUM(B31:B37)</f>
        <v>540</v>
      </c>
      <c r="C30" s="18">
        <f>SUM(C31:C37)</f>
        <v>540</v>
      </c>
      <c r="D30" s="18">
        <f>SUM(D31:D37)</f>
        <v>640</v>
      </c>
      <c r="E30" s="102"/>
    </row>
    <row r="31" spans="1:8" ht="18" customHeight="1" x14ac:dyDescent="0.2">
      <c r="A31" s="7" t="s">
        <v>681</v>
      </c>
      <c r="B31" s="16">
        <v>250</v>
      </c>
      <c r="C31" s="16">
        <v>250</v>
      </c>
      <c r="D31" s="16">
        <v>200</v>
      </c>
      <c r="E31" s="9" t="s">
        <v>682</v>
      </c>
    </row>
    <row r="32" spans="1:8" ht="18" customHeight="1" x14ac:dyDescent="0.2">
      <c r="A32" s="7" t="s">
        <v>683</v>
      </c>
      <c r="B32" s="16">
        <v>250</v>
      </c>
      <c r="C32" s="16">
        <v>250</v>
      </c>
      <c r="D32" s="16">
        <v>400</v>
      </c>
      <c r="E32" s="9" t="s">
        <v>684</v>
      </c>
    </row>
    <row r="33" spans="1:5" ht="18" customHeight="1" x14ac:dyDescent="0.2">
      <c r="A33" s="7" t="s">
        <v>685</v>
      </c>
      <c r="B33" s="16">
        <v>40</v>
      </c>
      <c r="C33" s="16">
        <v>40</v>
      </c>
      <c r="D33" s="16">
        <v>40</v>
      </c>
      <c r="E33" s="102"/>
    </row>
    <row r="34" spans="1:5" ht="18" customHeight="1" x14ac:dyDescent="0.2">
      <c r="A34" s="7" t="s">
        <v>686</v>
      </c>
      <c r="B34" s="102"/>
      <c r="C34" s="102"/>
      <c r="D34" s="102"/>
      <c r="E34" s="102"/>
    </row>
    <row r="35" spans="1:5" ht="18" customHeight="1" x14ac:dyDescent="0.2">
      <c r="A35" s="102"/>
      <c r="B35" s="102"/>
      <c r="C35" s="102"/>
      <c r="D35" s="102"/>
      <c r="E35" s="102"/>
    </row>
    <row r="36" spans="1:5" ht="18" customHeight="1" x14ac:dyDescent="0.2">
      <c r="A36" s="102"/>
      <c r="B36" s="102"/>
      <c r="C36" s="102"/>
      <c r="D36" s="102"/>
      <c r="E36" s="102"/>
    </row>
    <row r="37" spans="1:5" ht="18" customHeight="1" x14ac:dyDescent="0.2">
      <c r="A37" s="102"/>
      <c r="B37" s="102"/>
      <c r="C37" s="102"/>
      <c r="D37" s="102"/>
      <c r="E37" s="102"/>
    </row>
    <row r="38" spans="1:5" ht="18" customHeight="1" x14ac:dyDescent="0.2">
      <c r="A38" s="122" t="s">
        <v>687</v>
      </c>
      <c r="B38" s="18">
        <f>SUM(B39:B46)</f>
        <v>182</v>
      </c>
      <c r="C38" s="18">
        <f>SUM(C39:C46)</f>
        <v>802</v>
      </c>
      <c r="D38" s="18">
        <f>SUM(D39:D46)</f>
        <v>165</v>
      </c>
      <c r="E38" s="102"/>
    </row>
    <row r="39" spans="1:5" ht="18" customHeight="1" x14ac:dyDescent="0.2">
      <c r="A39" s="7" t="s">
        <v>688</v>
      </c>
      <c r="B39" s="16">
        <v>182</v>
      </c>
      <c r="C39" s="16">
        <v>150</v>
      </c>
      <c r="D39" s="16">
        <v>150</v>
      </c>
      <c r="E39" s="9" t="s">
        <v>689</v>
      </c>
    </row>
    <row r="40" spans="1:5" ht="18" customHeight="1" x14ac:dyDescent="0.2">
      <c r="A40" s="7" t="s">
        <v>690</v>
      </c>
      <c r="B40" s="16">
        <v>0</v>
      </c>
      <c r="C40" s="16">
        <v>20</v>
      </c>
      <c r="D40" s="16">
        <v>0</v>
      </c>
      <c r="E40" s="9" t="s">
        <v>691</v>
      </c>
    </row>
    <row r="41" spans="1:5" ht="18" customHeight="1" x14ac:dyDescent="0.2">
      <c r="A41" s="7" t="s">
        <v>692</v>
      </c>
      <c r="B41" s="16">
        <v>0</v>
      </c>
      <c r="C41" s="16">
        <v>580</v>
      </c>
      <c r="D41" s="16">
        <v>0</v>
      </c>
      <c r="E41" s="9" t="s">
        <v>693</v>
      </c>
    </row>
    <row r="42" spans="1:5" ht="18" customHeight="1" x14ac:dyDescent="0.2">
      <c r="A42" s="7" t="s">
        <v>694</v>
      </c>
      <c r="B42" s="16">
        <v>0</v>
      </c>
      <c r="C42" s="16">
        <v>52</v>
      </c>
      <c r="D42" s="16">
        <v>15</v>
      </c>
      <c r="E42" s="9" t="s">
        <v>695</v>
      </c>
    </row>
    <row r="43" spans="1:5" ht="18" customHeight="1" x14ac:dyDescent="0.2">
      <c r="A43" s="7" t="s">
        <v>696</v>
      </c>
      <c r="B43" s="16">
        <v>0</v>
      </c>
      <c r="C43" s="16">
        <v>0</v>
      </c>
      <c r="D43" s="102"/>
      <c r="E43" s="102"/>
    </row>
    <row r="44" spans="1:5" ht="18" customHeight="1" x14ac:dyDescent="0.2">
      <c r="A44" s="102"/>
      <c r="B44" s="102"/>
      <c r="C44" s="102"/>
      <c r="D44" s="102"/>
      <c r="E44" s="102"/>
    </row>
    <row r="45" spans="1:5" ht="18" customHeight="1" x14ac:dyDescent="0.2">
      <c r="A45" s="102"/>
      <c r="B45" s="102"/>
      <c r="C45" s="102"/>
      <c r="D45" s="102"/>
      <c r="E45" s="102"/>
    </row>
    <row r="46" spans="1:5" ht="18" customHeight="1" x14ac:dyDescent="0.2">
      <c r="A46" s="102"/>
      <c r="B46" s="102"/>
      <c r="C46" s="102"/>
      <c r="D46" s="102"/>
      <c r="E46" s="102"/>
    </row>
    <row r="47" spans="1:5" ht="18" customHeight="1" x14ac:dyDescent="0.2">
      <c r="A47" s="7" t="s">
        <v>697</v>
      </c>
      <c r="B47" s="18">
        <f>SUM(B48:B54)</f>
        <v>10</v>
      </c>
      <c r="C47" s="18">
        <f>SUM(C48:C54)</f>
        <v>150</v>
      </c>
      <c r="D47" s="18">
        <f>SUM(D48:D54)</f>
        <v>70</v>
      </c>
      <c r="E47" s="102"/>
    </row>
    <row r="48" spans="1:5" ht="18" customHeight="1" x14ac:dyDescent="0.2">
      <c r="A48" s="7" t="s">
        <v>698</v>
      </c>
      <c r="B48" s="16">
        <v>0</v>
      </c>
      <c r="C48" s="16">
        <v>20</v>
      </c>
      <c r="D48" s="16">
        <v>10</v>
      </c>
      <c r="E48" s="9" t="s">
        <v>699</v>
      </c>
    </row>
    <row r="49" spans="1:5" ht="18" customHeight="1" x14ac:dyDescent="0.2">
      <c r="A49" s="7" t="s">
        <v>700</v>
      </c>
      <c r="B49" s="16">
        <v>0</v>
      </c>
      <c r="C49" s="16">
        <v>100</v>
      </c>
      <c r="D49" s="16">
        <v>30</v>
      </c>
      <c r="E49" s="9" t="s">
        <v>701</v>
      </c>
    </row>
    <row r="50" spans="1:5" ht="18" customHeight="1" x14ac:dyDescent="0.2">
      <c r="A50" s="7" t="s">
        <v>702</v>
      </c>
      <c r="B50" s="16">
        <v>0</v>
      </c>
      <c r="C50" s="16">
        <v>20</v>
      </c>
      <c r="D50" s="16">
        <v>20</v>
      </c>
      <c r="E50" s="9" t="s">
        <v>703</v>
      </c>
    </row>
    <row r="51" spans="1:5" ht="18" customHeight="1" x14ac:dyDescent="0.2">
      <c r="A51" s="7" t="s">
        <v>704</v>
      </c>
      <c r="B51" s="16">
        <v>10</v>
      </c>
      <c r="C51" s="16">
        <v>10</v>
      </c>
      <c r="D51" s="16">
        <v>10</v>
      </c>
      <c r="E51" s="102"/>
    </row>
    <row r="52" spans="1:5" ht="18" customHeight="1" x14ac:dyDescent="0.2">
      <c r="A52" s="102"/>
      <c r="B52" s="102"/>
      <c r="C52" s="102"/>
      <c r="D52" s="102"/>
      <c r="E52" s="102"/>
    </row>
    <row r="53" spans="1:5" ht="18" customHeight="1" x14ac:dyDescent="0.2">
      <c r="A53" s="102"/>
      <c r="B53" s="102"/>
      <c r="C53" s="102"/>
      <c r="D53" s="102"/>
      <c r="E53" s="102"/>
    </row>
    <row r="54" spans="1:5" ht="18" customHeight="1" x14ac:dyDescent="0.2">
      <c r="A54" s="102"/>
      <c r="B54" s="102"/>
      <c r="C54" s="102"/>
      <c r="D54" s="102"/>
      <c r="E54" s="102"/>
    </row>
    <row r="55" spans="1:5" ht="18" customHeight="1" x14ac:dyDescent="0.2">
      <c r="A55" s="122" t="s">
        <v>705</v>
      </c>
      <c r="B55" s="18">
        <f>SUM(B56:B60)</f>
        <v>20</v>
      </c>
      <c r="C55" s="18">
        <f>SUM(C56:C60)</f>
        <v>20</v>
      </c>
      <c r="D55" s="18">
        <f>SUM(D56:D60)</f>
        <v>30</v>
      </c>
      <c r="E55" s="102"/>
    </row>
    <row r="56" spans="1:5" ht="18" customHeight="1" x14ac:dyDescent="0.2">
      <c r="A56" s="7" t="s">
        <v>706</v>
      </c>
      <c r="B56" s="16">
        <v>0</v>
      </c>
      <c r="C56" s="102"/>
      <c r="D56" s="102"/>
      <c r="E56" s="102"/>
    </row>
    <row r="57" spans="1:5" ht="18" customHeight="1" x14ac:dyDescent="0.2">
      <c r="A57" s="7" t="s">
        <v>707</v>
      </c>
      <c r="B57" s="16">
        <v>20</v>
      </c>
      <c r="C57" s="16">
        <v>20</v>
      </c>
      <c r="D57" s="16">
        <v>30</v>
      </c>
      <c r="E57" s="9" t="s">
        <v>708</v>
      </c>
    </row>
    <row r="58" spans="1:5" ht="18" customHeight="1" x14ac:dyDescent="0.2">
      <c r="A58" s="102"/>
      <c r="B58" s="102"/>
      <c r="C58" s="102"/>
      <c r="D58" s="102"/>
      <c r="E58" s="102"/>
    </row>
    <row r="59" spans="1:5" ht="18" customHeight="1" x14ac:dyDescent="0.2">
      <c r="A59" s="102"/>
      <c r="B59" s="102"/>
      <c r="C59" s="102"/>
      <c r="D59" s="102"/>
      <c r="E59" s="102"/>
    </row>
    <row r="60" spans="1:5" ht="18" customHeight="1" x14ac:dyDescent="0.2">
      <c r="A60" s="102"/>
      <c r="B60" s="102"/>
      <c r="C60" s="102"/>
      <c r="D60" s="102"/>
      <c r="E60" s="102"/>
    </row>
    <row r="61" spans="1:5" ht="18" customHeight="1" x14ac:dyDescent="0.2">
      <c r="A61" s="122" t="s">
        <v>709</v>
      </c>
      <c r="B61" s="18">
        <f>SUM(B62:B68)</f>
        <v>0</v>
      </c>
      <c r="C61" s="18">
        <f>SUM(C62:C68)</f>
        <v>0</v>
      </c>
      <c r="D61" s="18">
        <f>SUM(D62:D68)</f>
        <v>0</v>
      </c>
      <c r="E61" s="102"/>
    </row>
    <row r="62" spans="1:5" ht="18" customHeight="1" x14ac:dyDescent="0.2">
      <c r="A62" s="7" t="s">
        <v>710</v>
      </c>
      <c r="B62" s="16">
        <v>0</v>
      </c>
      <c r="C62" s="16">
        <v>0</v>
      </c>
      <c r="D62" s="102"/>
      <c r="E62" s="102"/>
    </row>
    <row r="63" spans="1:5" ht="18" customHeight="1" x14ac:dyDescent="0.2">
      <c r="A63" s="7" t="s">
        <v>711</v>
      </c>
      <c r="B63" s="16">
        <v>0</v>
      </c>
      <c r="C63" s="16">
        <v>0</v>
      </c>
      <c r="D63" s="102"/>
      <c r="E63" s="102"/>
    </row>
    <row r="64" spans="1:5" ht="18" customHeight="1" x14ac:dyDescent="0.2">
      <c r="A64" s="7" t="s">
        <v>712</v>
      </c>
      <c r="B64" s="16">
        <v>0</v>
      </c>
      <c r="C64" s="16">
        <v>0</v>
      </c>
      <c r="D64" s="102"/>
      <c r="E64" s="102"/>
    </row>
    <row r="65" spans="1:5" ht="18" customHeight="1" x14ac:dyDescent="0.2">
      <c r="A65" s="7" t="s">
        <v>713</v>
      </c>
      <c r="B65" s="16">
        <v>0</v>
      </c>
      <c r="C65" s="102"/>
      <c r="D65" s="102"/>
      <c r="E65" s="102"/>
    </row>
    <row r="66" spans="1:5" ht="18" customHeight="1" x14ac:dyDescent="0.2">
      <c r="A66" s="102"/>
      <c r="B66" s="102"/>
      <c r="C66" s="102"/>
      <c r="D66" s="102"/>
      <c r="E66" s="102"/>
    </row>
    <row r="67" spans="1:5" ht="18" customHeight="1" x14ac:dyDescent="0.2">
      <c r="A67" s="102"/>
      <c r="B67" s="102"/>
      <c r="C67" s="102"/>
      <c r="D67" s="102"/>
      <c r="E67" s="102"/>
    </row>
    <row r="68" spans="1:5" ht="18" customHeight="1" x14ac:dyDescent="0.2">
      <c r="A68" s="102"/>
      <c r="B68" s="102"/>
      <c r="C68" s="102"/>
      <c r="D68" s="102"/>
      <c r="E68" s="102"/>
    </row>
    <row r="69" spans="1:5" ht="18" customHeight="1" x14ac:dyDescent="0.2">
      <c r="A69" s="122" t="s">
        <v>714</v>
      </c>
      <c r="B69" s="18">
        <f>SUM(B70:B75)</f>
        <v>0</v>
      </c>
      <c r="C69" s="18">
        <f>SUM(C70:C75)</f>
        <v>0</v>
      </c>
      <c r="D69" s="18">
        <f>SUM(D70:D75)</f>
        <v>0</v>
      </c>
      <c r="E69" s="102"/>
    </row>
    <row r="70" spans="1:5" ht="18" customHeight="1" x14ac:dyDescent="0.2">
      <c r="A70" s="7" t="s">
        <v>715</v>
      </c>
      <c r="B70" s="16">
        <v>0</v>
      </c>
      <c r="C70" s="16">
        <v>0</v>
      </c>
      <c r="D70" s="102"/>
      <c r="E70" s="102"/>
    </row>
    <row r="71" spans="1:5" ht="18" customHeight="1" x14ac:dyDescent="0.2">
      <c r="A71" s="7" t="s">
        <v>704</v>
      </c>
      <c r="B71" s="16">
        <v>0</v>
      </c>
      <c r="C71" s="16">
        <v>0</v>
      </c>
      <c r="D71" s="102"/>
      <c r="E71" s="102"/>
    </row>
    <row r="72" spans="1:5" ht="18" customHeight="1" x14ac:dyDescent="0.2">
      <c r="A72" s="7" t="s">
        <v>716</v>
      </c>
      <c r="B72" s="16">
        <v>0</v>
      </c>
      <c r="C72" s="16">
        <v>0</v>
      </c>
      <c r="D72" s="102"/>
      <c r="E72" s="102"/>
    </row>
    <row r="73" spans="1:5" ht="18" customHeight="1" x14ac:dyDescent="0.2">
      <c r="A73" s="102"/>
      <c r="B73" s="102"/>
      <c r="C73" s="102"/>
      <c r="D73" s="102"/>
      <c r="E73" s="102"/>
    </row>
    <row r="74" spans="1:5" ht="18" customHeight="1" x14ac:dyDescent="0.2">
      <c r="A74" s="102"/>
      <c r="B74" s="102"/>
      <c r="C74" s="102"/>
      <c r="D74" s="102"/>
      <c r="E74" s="102"/>
    </row>
    <row r="75" spans="1:5" ht="18" customHeight="1" x14ac:dyDescent="0.2">
      <c r="A75" s="102"/>
      <c r="B75" s="102"/>
      <c r="C75" s="102"/>
      <c r="D75" s="102"/>
      <c r="E75" s="102"/>
    </row>
    <row r="76" spans="1:5" ht="18" customHeight="1" x14ac:dyDescent="0.2">
      <c r="A76" s="122" t="s">
        <v>717</v>
      </c>
      <c r="B76" s="18">
        <f>SUM(B77:B85)</f>
        <v>150</v>
      </c>
      <c r="C76" s="18">
        <f>SUM(C77:C85)</f>
        <v>150</v>
      </c>
      <c r="D76" s="18">
        <f>SUM(D77:D85)</f>
        <v>130</v>
      </c>
      <c r="E76" s="102"/>
    </row>
    <row r="77" spans="1:5" ht="18" customHeight="1" x14ac:dyDescent="0.2">
      <c r="A77" s="7" t="s">
        <v>718</v>
      </c>
      <c r="B77" s="16">
        <v>50</v>
      </c>
      <c r="C77" s="16">
        <v>50</v>
      </c>
      <c r="D77" s="16">
        <v>30</v>
      </c>
      <c r="E77" s="9" t="s">
        <v>719</v>
      </c>
    </row>
    <row r="78" spans="1:5" ht="18" customHeight="1" x14ac:dyDescent="0.2">
      <c r="A78" s="7" t="s">
        <v>720</v>
      </c>
      <c r="B78" s="16">
        <v>0</v>
      </c>
      <c r="C78" s="102"/>
      <c r="D78" s="102"/>
      <c r="E78" s="102"/>
    </row>
    <row r="79" spans="1:5" ht="18" customHeight="1" x14ac:dyDescent="0.2">
      <c r="A79" s="7" t="s">
        <v>721</v>
      </c>
      <c r="B79" s="16">
        <v>0</v>
      </c>
      <c r="C79" s="102"/>
      <c r="D79" s="102"/>
      <c r="E79" s="102"/>
    </row>
    <row r="80" spans="1:5" ht="18" customHeight="1" x14ac:dyDescent="0.2">
      <c r="A80" s="7" t="s">
        <v>722</v>
      </c>
      <c r="B80" s="16">
        <v>100</v>
      </c>
      <c r="C80" s="16">
        <v>100</v>
      </c>
      <c r="D80" s="16">
        <v>100</v>
      </c>
      <c r="E80" s="9" t="s">
        <v>723</v>
      </c>
    </row>
    <row r="81" spans="1:5" ht="18" customHeight="1" x14ac:dyDescent="0.2">
      <c r="A81" s="7" t="s">
        <v>724</v>
      </c>
      <c r="B81" s="16">
        <v>0</v>
      </c>
      <c r="C81" s="102"/>
      <c r="D81" s="102"/>
      <c r="E81" s="102"/>
    </row>
    <row r="82" spans="1:5" ht="18" customHeight="1" x14ac:dyDescent="0.2">
      <c r="A82" s="7" t="s">
        <v>725</v>
      </c>
      <c r="B82" s="16">
        <v>0</v>
      </c>
      <c r="C82" s="102"/>
      <c r="D82" s="102"/>
      <c r="E82" s="102"/>
    </row>
    <row r="83" spans="1:5" ht="18" customHeight="1" x14ac:dyDescent="0.2">
      <c r="A83" s="102"/>
      <c r="B83" s="102"/>
      <c r="C83" s="102"/>
      <c r="D83" s="102"/>
      <c r="E83" s="102"/>
    </row>
    <row r="84" spans="1:5" ht="18" customHeight="1" x14ac:dyDescent="0.2">
      <c r="A84" s="102"/>
      <c r="B84" s="102"/>
      <c r="C84" s="102"/>
      <c r="D84" s="102"/>
      <c r="E84" s="102"/>
    </row>
    <row r="85" spans="1:5" ht="18" customHeight="1" x14ac:dyDescent="0.2">
      <c r="A85" s="102"/>
      <c r="B85" s="102"/>
      <c r="C85" s="102"/>
      <c r="D85" s="102"/>
      <c r="E85" s="102"/>
    </row>
    <row r="86" spans="1:5" ht="18" customHeight="1" x14ac:dyDescent="0.2">
      <c r="A86" s="122" t="s">
        <v>726</v>
      </c>
      <c r="B86" s="18">
        <f>SUM(B87:B92)</f>
        <v>0</v>
      </c>
      <c r="C86" s="18">
        <f>SUM(C87:C92)</f>
        <v>0</v>
      </c>
      <c r="D86" s="18">
        <f>SUM(D87:D92)</f>
        <v>0</v>
      </c>
      <c r="E86" s="102"/>
    </row>
    <row r="87" spans="1:5" ht="18" customHeight="1" x14ac:dyDescent="0.2">
      <c r="A87" s="7" t="s">
        <v>727</v>
      </c>
      <c r="B87" s="16">
        <v>0</v>
      </c>
      <c r="C87" s="16">
        <v>0</v>
      </c>
      <c r="D87" s="102"/>
      <c r="E87" s="102"/>
    </row>
    <row r="88" spans="1:5" ht="18" customHeight="1" x14ac:dyDescent="0.2">
      <c r="A88" s="7" t="s">
        <v>728</v>
      </c>
      <c r="B88" s="16">
        <v>0</v>
      </c>
      <c r="C88" s="16">
        <v>0</v>
      </c>
      <c r="D88" s="102"/>
      <c r="E88" s="102"/>
    </row>
    <row r="89" spans="1:5" ht="18" customHeight="1" x14ac:dyDescent="0.2">
      <c r="A89" s="7" t="s">
        <v>729</v>
      </c>
      <c r="B89" s="102"/>
      <c r="C89" s="16">
        <v>0</v>
      </c>
      <c r="D89" s="102"/>
      <c r="E89" s="102"/>
    </row>
    <row r="90" spans="1:5" ht="18" customHeight="1" x14ac:dyDescent="0.2">
      <c r="A90" s="102"/>
      <c r="B90" s="102"/>
      <c r="C90" s="102"/>
      <c r="D90" s="102"/>
      <c r="E90" s="102"/>
    </row>
    <row r="91" spans="1:5" ht="18" customHeight="1" x14ac:dyDescent="0.2">
      <c r="A91" s="102"/>
      <c r="B91" s="102"/>
      <c r="C91" s="102"/>
      <c r="D91" s="102"/>
      <c r="E91" s="102"/>
    </row>
    <row r="92" spans="1:5" ht="18" customHeight="1" x14ac:dyDescent="0.2">
      <c r="A92" s="102"/>
      <c r="B92" s="102"/>
      <c r="C92" s="102"/>
      <c r="D92" s="102"/>
      <c r="E92" s="102"/>
    </row>
    <row r="93" spans="1:5" ht="18" customHeight="1" x14ac:dyDescent="0.2">
      <c r="A93" s="122" t="s">
        <v>730</v>
      </c>
      <c r="B93" s="18">
        <f>SUM(B94:B108)</f>
        <v>98</v>
      </c>
      <c r="C93" s="18">
        <f>SUM(C94:C108)</f>
        <v>98</v>
      </c>
      <c r="D93" s="18">
        <f>SUM(D94:D108)</f>
        <v>128</v>
      </c>
      <c r="E93" s="102"/>
    </row>
    <row r="94" spans="1:5" ht="18" customHeight="1" x14ac:dyDescent="0.2">
      <c r="A94" s="7" t="s">
        <v>731</v>
      </c>
      <c r="B94" s="16">
        <v>0</v>
      </c>
      <c r="C94" s="16">
        <v>0</v>
      </c>
      <c r="D94" s="102"/>
      <c r="E94" s="102"/>
    </row>
    <row r="95" spans="1:5" ht="18" customHeight="1" x14ac:dyDescent="0.2">
      <c r="A95" s="7" t="s">
        <v>732</v>
      </c>
      <c r="B95" s="16">
        <v>0</v>
      </c>
      <c r="C95" s="16">
        <v>0</v>
      </c>
      <c r="D95" s="16">
        <v>30</v>
      </c>
      <c r="E95" s="9" t="s">
        <v>733</v>
      </c>
    </row>
    <row r="96" spans="1:5" ht="18" customHeight="1" x14ac:dyDescent="0.2">
      <c r="A96" s="7" t="s">
        <v>734</v>
      </c>
      <c r="B96" s="16">
        <v>0</v>
      </c>
      <c r="C96" s="16">
        <v>0</v>
      </c>
      <c r="D96" s="102"/>
      <c r="E96" s="102"/>
    </row>
    <row r="97" spans="1:5" ht="18" customHeight="1" x14ac:dyDescent="0.2">
      <c r="A97" s="7" t="s">
        <v>735</v>
      </c>
      <c r="B97" s="16">
        <v>0</v>
      </c>
      <c r="C97" s="16">
        <v>0</v>
      </c>
      <c r="D97" s="102"/>
      <c r="E97" s="102"/>
    </row>
    <row r="98" spans="1:5" ht="18" customHeight="1" x14ac:dyDescent="0.2">
      <c r="A98" s="7" t="s">
        <v>736</v>
      </c>
      <c r="B98" s="16">
        <v>0</v>
      </c>
      <c r="C98" s="16">
        <v>0</v>
      </c>
      <c r="D98" s="102"/>
      <c r="E98" s="102"/>
    </row>
    <row r="99" spans="1:5" ht="18" customHeight="1" x14ac:dyDescent="0.2">
      <c r="A99" s="7" t="s">
        <v>737</v>
      </c>
      <c r="B99" s="16">
        <v>0</v>
      </c>
      <c r="C99" s="16">
        <v>0</v>
      </c>
      <c r="D99" s="102"/>
      <c r="E99" s="102"/>
    </row>
    <row r="100" spans="1:5" ht="18" customHeight="1" x14ac:dyDescent="0.2">
      <c r="A100" s="7" t="s">
        <v>738</v>
      </c>
      <c r="B100" s="16">
        <v>0</v>
      </c>
      <c r="C100" s="16">
        <v>0</v>
      </c>
      <c r="D100" s="102"/>
      <c r="E100" s="102"/>
    </row>
    <row r="101" spans="1:5" ht="18" customHeight="1" x14ac:dyDescent="0.2">
      <c r="A101" s="7" t="s">
        <v>739</v>
      </c>
      <c r="B101" s="16">
        <v>0</v>
      </c>
      <c r="C101" s="16">
        <v>0</v>
      </c>
      <c r="D101" s="102"/>
      <c r="E101" s="102"/>
    </row>
    <row r="102" spans="1:5" ht="18" customHeight="1" x14ac:dyDescent="0.2">
      <c r="A102" s="7" t="s">
        <v>740</v>
      </c>
      <c r="B102" s="16">
        <v>0</v>
      </c>
      <c r="C102" s="16">
        <v>0</v>
      </c>
      <c r="D102" s="102"/>
      <c r="E102" s="102"/>
    </row>
    <row r="103" spans="1:5" ht="18" customHeight="1" x14ac:dyDescent="0.2">
      <c r="A103" s="7" t="s">
        <v>741</v>
      </c>
      <c r="B103" s="16">
        <v>42</v>
      </c>
      <c r="C103" s="16">
        <v>42</v>
      </c>
      <c r="D103" s="16">
        <v>42</v>
      </c>
      <c r="E103" s="9" t="s">
        <v>742</v>
      </c>
    </row>
    <row r="104" spans="1:5" ht="18" customHeight="1" x14ac:dyDescent="0.2">
      <c r="A104" s="7" t="s">
        <v>743</v>
      </c>
      <c r="B104" s="16">
        <v>20</v>
      </c>
      <c r="C104" s="16">
        <v>20</v>
      </c>
      <c r="D104" s="16">
        <v>20</v>
      </c>
      <c r="E104" s="9" t="s">
        <v>744</v>
      </c>
    </row>
    <row r="105" spans="1:5" ht="18" customHeight="1" x14ac:dyDescent="0.2">
      <c r="A105" s="7" t="s">
        <v>745</v>
      </c>
      <c r="B105" s="16">
        <v>16</v>
      </c>
      <c r="C105" s="16">
        <v>16</v>
      </c>
      <c r="D105" s="16">
        <v>16</v>
      </c>
      <c r="E105" s="9" t="s">
        <v>746</v>
      </c>
    </row>
    <row r="106" spans="1:5" ht="18" customHeight="1" x14ac:dyDescent="0.2">
      <c r="A106" s="7" t="s">
        <v>747</v>
      </c>
      <c r="B106" s="16">
        <v>20</v>
      </c>
      <c r="C106" s="16">
        <v>20</v>
      </c>
      <c r="D106" s="16">
        <v>20</v>
      </c>
      <c r="E106" s="9" t="s">
        <v>748</v>
      </c>
    </row>
    <row r="107" spans="1:5" ht="18" customHeight="1" x14ac:dyDescent="0.2">
      <c r="A107" s="102"/>
      <c r="B107" s="102"/>
      <c r="C107" s="102"/>
      <c r="D107" s="102"/>
      <c r="E107" s="102"/>
    </row>
    <row r="108" spans="1:5" ht="18" customHeight="1" x14ac:dyDescent="0.2">
      <c r="A108" s="102"/>
      <c r="B108" s="102"/>
      <c r="C108" s="102"/>
      <c r="D108" s="102"/>
      <c r="E108" s="102"/>
    </row>
    <row r="109" spans="1:5" ht="18" customHeight="1" x14ac:dyDescent="0.2">
      <c r="A109" s="122" t="s">
        <v>749</v>
      </c>
      <c r="B109" s="18">
        <f>SUM(B110:B114)</f>
        <v>0</v>
      </c>
      <c r="C109" s="18">
        <f>SUM(C110:C114)</f>
        <v>0</v>
      </c>
      <c r="D109" s="18">
        <f>SUM(D110:D114)</f>
        <v>0</v>
      </c>
      <c r="E109" s="102"/>
    </row>
    <row r="110" spans="1:5" ht="18" customHeight="1" x14ac:dyDescent="0.2">
      <c r="A110" s="7" t="s">
        <v>750</v>
      </c>
      <c r="B110" s="16">
        <v>0</v>
      </c>
      <c r="C110" s="16">
        <v>0</v>
      </c>
      <c r="D110" s="102"/>
      <c r="E110" s="102"/>
    </row>
    <row r="111" spans="1:5" ht="18" customHeight="1" x14ac:dyDescent="0.2">
      <c r="A111" s="7" t="s">
        <v>751</v>
      </c>
      <c r="B111" s="16">
        <v>0</v>
      </c>
      <c r="C111" s="16">
        <v>0</v>
      </c>
      <c r="D111" s="102"/>
      <c r="E111" s="102"/>
    </row>
    <row r="112" spans="1:5" ht="18" customHeight="1" x14ac:dyDescent="0.2">
      <c r="A112" s="102"/>
      <c r="B112" s="102"/>
      <c r="C112" s="102"/>
      <c r="D112" s="102"/>
      <c r="E112" s="102"/>
    </row>
    <row r="113" spans="1:8" ht="18" customHeight="1" x14ac:dyDescent="0.2">
      <c r="A113" s="102"/>
      <c r="B113" s="102"/>
      <c r="C113" s="102"/>
      <c r="D113" s="102"/>
      <c r="E113" s="102"/>
    </row>
    <row r="114" spans="1:8" ht="18" customHeight="1" x14ac:dyDescent="0.2">
      <c r="A114" s="102"/>
      <c r="B114" s="102"/>
      <c r="C114" s="102"/>
      <c r="D114" s="102"/>
      <c r="E114" s="102"/>
    </row>
    <row r="115" spans="1:8" ht="18" customHeight="1" x14ac:dyDescent="0.2">
      <c r="A115" s="122" t="s">
        <v>752</v>
      </c>
      <c r="B115" s="18">
        <f>SUM(B116:B119)</f>
        <v>300</v>
      </c>
      <c r="C115" s="18">
        <f>SUM(C116:C119)</f>
        <v>300</v>
      </c>
      <c r="D115" s="18">
        <f>SUM(D116:D119)</f>
        <v>0</v>
      </c>
      <c r="E115" s="102"/>
    </row>
    <row r="116" spans="1:8" ht="18" customHeight="1" x14ac:dyDescent="0.2">
      <c r="A116" s="7" t="s">
        <v>753</v>
      </c>
      <c r="B116" s="16">
        <v>300</v>
      </c>
      <c r="C116" s="16">
        <v>300</v>
      </c>
      <c r="D116" s="102"/>
      <c r="E116" s="102"/>
    </row>
    <row r="117" spans="1:8" ht="18" customHeight="1" x14ac:dyDescent="0.2">
      <c r="A117" s="102"/>
      <c r="B117" s="102"/>
      <c r="C117" s="102"/>
      <c r="D117" s="102"/>
      <c r="E117" s="102"/>
    </row>
    <row r="118" spans="1:8" ht="18" customHeight="1" x14ac:dyDescent="0.2">
      <c r="A118" s="102"/>
      <c r="B118" s="102"/>
      <c r="C118" s="102"/>
      <c r="D118" s="102"/>
      <c r="E118" s="102"/>
    </row>
    <row r="119" spans="1:8" ht="18" customHeight="1" x14ac:dyDescent="0.2">
      <c r="A119" s="102"/>
      <c r="B119" s="102"/>
      <c r="C119" s="102"/>
      <c r="D119" s="102"/>
      <c r="E119" s="102"/>
    </row>
    <row r="120" spans="1:8" ht="18" customHeight="1" x14ac:dyDescent="0.2">
      <c r="A120" s="122" t="s">
        <v>754</v>
      </c>
      <c r="B120" s="18">
        <f>SUM(B121:B125)</f>
        <v>0</v>
      </c>
      <c r="C120" s="18">
        <f>SUM(C121:C125)</f>
        <v>0</v>
      </c>
      <c r="D120" s="18">
        <f>SUM(D121:D125)</f>
        <v>0</v>
      </c>
      <c r="E120" s="102"/>
    </row>
    <row r="121" spans="1:8" ht="18" customHeight="1" x14ac:dyDescent="0.2">
      <c r="A121" s="7" t="s">
        <v>755</v>
      </c>
      <c r="B121" s="16">
        <v>0</v>
      </c>
      <c r="C121" s="16">
        <v>0</v>
      </c>
      <c r="D121" s="102"/>
      <c r="E121" s="102"/>
    </row>
    <row r="122" spans="1:8" ht="18" customHeight="1" x14ac:dyDescent="0.2">
      <c r="A122" s="7" t="s">
        <v>756</v>
      </c>
      <c r="B122" s="16">
        <v>0</v>
      </c>
      <c r="C122" s="16">
        <v>0</v>
      </c>
      <c r="D122" s="102"/>
      <c r="E122" s="102"/>
    </row>
    <row r="123" spans="1:8" ht="18" customHeight="1" x14ac:dyDescent="0.2">
      <c r="A123" s="7" t="s">
        <v>757</v>
      </c>
      <c r="B123" s="16">
        <v>0</v>
      </c>
      <c r="C123" s="16">
        <v>0</v>
      </c>
      <c r="D123" s="102"/>
      <c r="E123" s="102"/>
    </row>
    <row r="124" spans="1:8" ht="18" customHeight="1" x14ac:dyDescent="0.2">
      <c r="A124" s="102"/>
      <c r="B124" s="102"/>
      <c r="C124" s="102"/>
      <c r="D124" s="102"/>
      <c r="E124" s="102"/>
    </row>
    <row r="125" spans="1:8" ht="18" customHeight="1" x14ac:dyDescent="0.2">
      <c r="A125" s="102"/>
      <c r="B125" s="102"/>
      <c r="C125" s="102"/>
      <c r="D125" s="102"/>
      <c r="E125" s="102"/>
    </row>
    <row r="126" spans="1:8" ht="18" customHeight="1" x14ac:dyDescent="0.2">
      <c r="A126" s="122" t="s">
        <v>758</v>
      </c>
      <c r="B126" s="18">
        <f>SUM(B5,B13,B21,B30,B38,B47,B55,B61,B69,B76,B86,B93,B109,B115,B120)</f>
        <v>2393.8199999999997</v>
      </c>
      <c r="C126" s="18">
        <f>SUM(C5,C13,C21,C30,C38,C47,C55,C61,C69,C76,C86,C93,C109,C115,C120)</f>
        <v>5053.82</v>
      </c>
      <c r="D126" s="18">
        <f>SUM(D5,D13,D21,D30,D38,D47,D55,D61,D69,D76,D86,D93,D109,D115,D120)</f>
        <v>4152</v>
      </c>
      <c r="E126" s="102"/>
    </row>
    <row r="127" spans="1:8" ht="6" customHeight="1" x14ac:dyDescent="0.2">
      <c r="A127" s="22"/>
      <c r="B127" s="22"/>
      <c r="C127" s="22"/>
      <c r="D127" s="22"/>
      <c r="E127" s="22"/>
      <c r="F127" s="22"/>
      <c r="G127" s="22"/>
      <c r="H127" s="22"/>
    </row>
    <row r="128" spans="1:8" ht="25.5" customHeight="1" x14ac:dyDescent="0.2">
      <c r="A128" s="221" t="s">
        <v>759</v>
      </c>
      <c r="B128" s="173"/>
      <c r="C128" s="173"/>
      <c r="D128" s="173"/>
      <c r="E128" s="173"/>
      <c r="F128" s="173"/>
      <c r="G128" s="173"/>
      <c r="H128" s="173"/>
    </row>
    <row r="130" spans="1:8" ht="21.75" customHeight="1" x14ac:dyDescent="0.2">
      <c r="A130" s="225" t="s">
        <v>629</v>
      </c>
      <c r="B130" s="178"/>
      <c r="C130" s="210" t="s">
        <v>630</v>
      </c>
      <c r="D130" s="177"/>
      <c r="E130" s="177"/>
      <c r="F130" s="177"/>
      <c r="G130" s="177"/>
      <c r="H130" s="178"/>
    </row>
    <row r="131" spans="1:8" ht="21.75" customHeight="1" x14ac:dyDescent="0.2">
      <c r="A131" s="212">
        <v>4293</v>
      </c>
      <c r="B131" s="178"/>
      <c r="C131" s="226" t="s">
        <v>631</v>
      </c>
      <c r="D131" s="177"/>
      <c r="E131" s="177"/>
      <c r="F131" s="177"/>
      <c r="G131" s="177"/>
      <c r="H131" s="178"/>
    </row>
    <row r="132" spans="1:8" ht="21.75" customHeight="1" x14ac:dyDescent="0.2">
      <c r="A132" s="219">
        <f>INCOME!B97</f>
        <v>8810.32</v>
      </c>
      <c r="B132" s="178"/>
      <c r="C132" s="226" t="s">
        <v>632</v>
      </c>
      <c r="D132" s="177"/>
      <c r="E132" s="177"/>
      <c r="F132" s="177"/>
      <c r="G132" s="177"/>
      <c r="H132" s="178"/>
    </row>
    <row r="133" spans="1:8" ht="21.75" customHeight="1" x14ac:dyDescent="0.2">
      <c r="A133" s="215" t="s">
        <v>633</v>
      </c>
      <c r="B133" s="178"/>
      <c r="C133" s="227" t="s">
        <v>634</v>
      </c>
      <c r="D133" s="177"/>
      <c r="E133" s="177"/>
      <c r="F133" s="177"/>
      <c r="G133" s="177"/>
      <c r="H133" s="178"/>
    </row>
    <row r="134" spans="1:8" ht="21.75" customHeight="1" x14ac:dyDescent="0.2">
      <c r="A134" s="213" t="s">
        <v>635</v>
      </c>
      <c r="B134" s="178"/>
      <c r="C134" s="227" t="s">
        <v>636</v>
      </c>
      <c r="D134" s="177"/>
      <c r="E134" s="177"/>
      <c r="F134" s="177"/>
      <c r="G134" s="177"/>
      <c r="H134" s="178"/>
    </row>
    <row r="135" spans="1:8" ht="21.75" customHeight="1" x14ac:dyDescent="0.2">
      <c r="A135" s="211" t="s">
        <v>637</v>
      </c>
      <c r="B135" s="178"/>
      <c r="C135" s="227" t="s">
        <v>638</v>
      </c>
      <c r="D135" s="177"/>
      <c r="E135" s="177"/>
      <c r="F135" s="177"/>
      <c r="G135" s="177"/>
      <c r="H135" s="178"/>
    </row>
    <row r="136" spans="1:8" ht="21.75" customHeight="1" x14ac:dyDescent="0.2">
      <c r="A136" s="216" t="s">
        <v>639</v>
      </c>
      <c r="B136" s="178"/>
      <c r="C136" s="227" t="s">
        <v>640</v>
      </c>
      <c r="D136" s="177"/>
      <c r="E136" s="177"/>
      <c r="F136" s="177"/>
      <c r="G136" s="177"/>
      <c r="H136" s="178"/>
    </row>
    <row r="137" spans="1:8" ht="21.75" customHeight="1" x14ac:dyDescent="0.2">
      <c r="A137" s="214" t="s">
        <v>641</v>
      </c>
      <c r="B137" s="178"/>
      <c r="C137" s="227" t="s">
        <v>642</v>
      </c>
      <c r="D137" s="177"/>
      <c r="E137" s="177"/>
      <c r="F137" s="177"/>
      <c r="G137" s="177"/>
      <c r="H137" s="178"/>
    </row>
    <row r="138" spans="1:8" ht="19.5" customHeight="1" x14ac:dyDescent="0.2">
      <c r="A138" s="124"/>
      <c r="B138" s="125"/>
      <c r="C138" s="126"/>
      <c r="D138" s="126"/>
      <c r="E138" s="126"/>
      <c r="F138" s="126"/>
      <c r="G138" s="126"/>
      <c r="H138" s="126"/>
    </row>
    <row r="139" spans="1:8" ht="19.5" customHeight="1" x14ac:dyDescent="0.2">
      <c r="A139" s="127"/>
      <c r="B139" s="125"/>
      <c r="C139" s="126"/>
      <c r="D139" s="126"/>
      <c r="E139" s="126"/>
      <c r="F139" s="126"/>
      <c r="G139" s="126"/>
      <c r="H139" s="126"/>
    </row>
    <row r="140" spans="1:8" ht="4.5" customHeight="1" x14ac:dyDescent="0.2">
      <c r="A140" s="126"/>
      <c r="B140" s="126"/>
      <c r="C140" s="126"/>
      <c r="D140" s="126"/>
      <c r="E140" s="126"/>
      <c r="F140" s="126"/>
      <c r="G140" s="126"/>
      <c r="H140" s="126"/>
    </row>
    <row r="141" spans="1:8" ht="21.75" customHeight="1" x14ac:dyDescent="0.2">
      <c r="A141" s="112" t="s">
        <v>760</v>
      </c>
      <c r="B141" s="113">
        <v>0</v>
      </c>
      <c r="C141" s="128" t="str">
        <f>IF(B141=0,"Viewing: Current (Year 0)","Viewing: Year "&amp;B141&amp;" — "&amp;TEXT(2026+B141,"0")&amp;"  (Age "&amp;TEXT(36+B141,"0")&amp;")")</f>
        <v>Viewing: Current (Year 0)</v>
      </c>
    </row>
    <row r="142" spans="1:8" ht="4.5" customHeight="1" x14ac:dyDescent="0.2">
      <c r="A142" s="88"/>
      <c r="B142" s="88"/>
      <c r="C142" s="88"/>
      <c r="D142" s="88"/>
      <c r="E142" s="88"/>
    </row>
    <row r="143" spans="1:8" ht="36" customHeight="1" x14ac:dyDescent="0.2">
      <c r="A143" s="5" t="s">
        <v>273</v>
      </c>
      <c r="B143" s="2" t="s">
        <v>274</v>
      </c>
      <c r="C143" s="3" t="s">
        <v>275</v>
      </c>
      <c r="D143" s="4" t="s">
        <v>276</v>
      </c>
      <c r="E143" s="5" t="s">
        <v>352</v>
      </c>
    </row>
    <row r="144" spans="1:8" ht="21.75" customHeight="1" x14ac:dyDescent="0.2">
      <c r="A144" s="129" t="s">
        <v>761</v>
      </c>
    </row>
    <row r="145" spans="1:5" ht="18" customHeight="1" x14ac:dyDescent="0.2">
      <c r="A145" s="130" t="s">
        <v>762</v>
      </c>
      <c r="B145" s="68">
        <f>IF(B141=0,B126,INDEX(PROJECTIONS!$I$5:$I$55,B141+1))</f>
        <v>2393.8199999999997</v>
      </c>
      <c r="C145" s="68">
        <f>IF(B141=0,B126,INDEX(PROJECTIONS!$R$5:$R$55,B141+1))</f>
        <v>2393.8199999999997</v>
      </c>
      <c r="D145" s="68">
        <f>IF(B141=0,B126,INDEX(PROJECTIONS!$AA$5:$AA$55,B141+1))</f>
        <v>2393.8199999999997</v>
      </c>
      <c r="E145" s="131" t="s">
        <v>763</v>
      </c>
    </row>
    <row r="146" spans="1:5" ht="18" customHeight="1" x14ac:dyDescent="0.2">
      <c r="A146" s="85" t="s">
        <v>764</v>
      </c>
      <c r="B146" s="39">
        <f>IF(B141=0,0,INDEX(PROJECTIONS!$H$5:$H$55,B141+1))</f>
        <v>0</v>
      </c>
      <c r="C146" s="39">
        <f>IF(B141=0,0,INDEX(PROJECTIONS!$Q$5:$Q$55,B141+1))</f>
        <v>0</v>
      </c>
      <c r="D146" s="39">
        <f>IF(B141=0,0,INDEX(PROJECTIONS!$Z$5:$Z$55,B141+1))</f>
        <v>0</v>
      </c>
      <c r="E146" s="115" t="s">
        <v>765</v>
      </c>
    </row>
    <row r="147" spans="1:5" ht="18" customHeight="1" x14ac:dyDescent="0.2">
      <c r="A147" s="130" t="s">
        <v>489</v>
      </c>
      <c r="B147" s="68" t="str">
        <f>IF(B141=0,"",INDEX(PROJECTIONS!$G$5:$G$55,B141+1))</f>
        <v/>
      </c>
      <c r="C147" s="68" t="str">
        <f>IF(B141=0,"",INDEX(PROJECTIONS!$P$5:$P$55,B141+1))</f>
        <v/>
      </c>
      <c r="D147" s="68" t="str">
        <f>IF(B141=0,"",INDEX(PROJECTIONS!$Y$5:$Y$55,B141+1))</f>
        <v/>
      </c>
      <c r="E147" s="131" t="s">
        <v>766</v>
      </c>
    </row>
    <row r="148" spans="1:5" ht="18" customHeight="1" x14ac:dyDescent="0.2">
      <c r="A148" s="85" t="s">
        <v>509</v>
      </c>
      <c r="B148" s="39" t="str">
        <f>IF(B141=0,"",INDEX(PROJECTIONS!$K$5:$K$55,B141+1))</f>
        <v/>
      </c>
      <c r="C148" s="39" t="str">
        <f>IF(B141=0,"",INDEX(PROJECTIONS!$T$5:$T$55,B141+1))</f>
        <v/>
      </c>
      <c r="D148" s="39" t="str">
        <f>IF(B141=0,"",INDEX(PROJECTIONS!$AC$5:$AC$55,B141+1))</f>
        <v/>
      </c>
      <c r="E148" s="115" t="s">
        <v>767</v>
      </c>
    </row>
    <row r="149" spans="1:5" ht="18" customHeight="1" x14ac:dyDescent="0.2">
      <c r="A149" s="130" t="s">
        <v>514</v>
      </c>
      <c r="B149" s="68" t="str">
        <f>IF(B141=0,"",INDEX(PROJECTIONS!$L$5:$L$55,B141+1))</f>
        <v/>
      </c>
      <c r="C149" s="68" t="str">
        <f>IF(B141=0,"",INDEX(PROJECTIONS!$U$5:$U$55,B141+1))</f>
        <v/>
      </c>
      <c r="D149" s="68" t="str">
        <f>IF(B141=0,"",INDEX(PROJECTIONS!$AD$5:$AD$55,B141+1))</f>
        <v/>
      </c>
      <c r="E149" s="131" t="s">
        <v>768</v>
      </c>
    </row>
    <row r="150" spans="1:5" ht="4.5" customHeight="1" x14ac:dyDescent="0.2">
      <c r="A150" s="88"/>
      <c r="B150" s="88"/>
      <c r="C150" s="88"/>
      <c r="D150" s="88"/>
      <c r="E150" s="88"/>
    </row>
    <row r="151" spans="1:5" ht="21.75" customHeight="1" x14ac:dyDescent="0.2">
      <c r="A151" s="179" t="s">
        <v>623</v>
      </c>
      <c r="B151" s="177"/>
      <c r="C151" s="177"/>
      <c r="D151" s="177"/>
      <c r="E151" s="178"/>
    </row>
    <row r="152" spans="1:5" ht="18" customHeight="1" x14ac:dyDescent="0.2">
      <c r="A152" s="118" t="s">
        <v>624</v>
      </c>
      <c r="B152" s="224" t="str">
        <f>IF(B141=0,"Current: Active Duty",INDEX(PROJECTIONS!$D$5:$D$55,B141+1))</f>
        <v>Current: Active Duty</v>
      </c>
      <c r="C152" s="177"/>
      <c r="D152" s="177"/>
      <c r="E152" s="178"/>
    </row>
    <row r="153" spans="1:5" ht="18" customHeight="1" x14ac:dyDescent="0.2">
      <c r="A153" s="120" t="s">
        <v>625</v>
      </c>
      <c r="B153" s="220" t="str">
        <f>IF(B141=0,"Current: Active Duty",INDEX(PROJECTIONS!$M$5:$M$55,B141+1))</f>
        <v>Current: Active Duty</v>
      </c>
      <c r="C153" s="177"/>
      <c r="D153" s="177"/>
      <c r="E153" s="178"/>
    </row>
    <row r="154" spans="1:5" ht="18" customHeight="1" x14ac:dyDescent="0.2">
      <c r="A154" s="121" t="s">
        <v>626</v>
      </c>
      <c r="B154" s="218" t="str">
        <f>IF(B141=0,"Current: Active Duty",INDEX(PROJECTIONS!$V$5:$V$55,B141+1))</f>
        <v>Current: Active Duty</v>
      </c>
      <c r="C154" s="177"/>
      <c r="D154" s="177"/>
      <c r="E154" s="178"/>
    </row>
  </sheetData>
  <mergeCells count="22">
    <mergeCell ref="A130:B130"/>
    <mergeCell ref="C134:H134"/>
    <mergeCell ref="C137:H137"/>
    <mergeCell ref="C133:H133"/>
    <mergeCell ref="A1:E1"/>
    <mergeCell ref="A132:B132"/>
    <mergeCell ref="C130:H130"/>
    <mergeCell ref="A128:H128"/>
    <mergeCell ref="C131:H131"/>
    <mergeCell ref="A131:B131"/>
    <mergeCell ref="B154:E154"/>
    <mergeCell ref="C132:H132"/>
    <mergeCell ref="B153:E153"/>
    <mergeCell ref="A137:B137"/>
    <mergeCell ref="A133:B133"/>
    <mergeCell ref="C135:H135"/>
    <mergeCell ref="A136:B136"/>
    <mergeCell ref="B152:E152"/>
    <mergeCell ref="A151:E151"/>
    <mergeCell ref="C136:H136"/>
    <mergeCell ref="A135:B135"/>
    <mergeCell ref="A134:B134"/>
  </mergeCells>
  <dataValidations count="2">
    <dataValidation type="whole" sqref="H2" xr:uid="{00000000-0002-0000-0700-000000000000}">
      <formula1>0</formula1>
      <formula2>50</formula2>
    </dataValidation>
    <dataValidation type="list" showErrorMessage="1" errorTitle="Invalid Year" error="Enter 0 through 50" sqref="B141" xr:uid="{00000000-0002-0000-0700-000001000000}">
      <formula1>"0,1,2,3,4,5,6,7,8,9,10,11,12,13,14,15,16,17,18,19,20,21,22,23,24,25,26,27,28,29,30,31,32,33,34,35,36,37,38,39,40,41,42,43,44,45,46,47,48,49,50"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7" width="20" customWidth="1"/>
  </cols>
  <sheetData>
    <row r="1" spans="1:7" ht="31.5" customHeight="1" x14ac:dyDescent="0.2">
      <c r="A1" s="172" t="s">
        <v>769</v>
      </c>
      <c r="B1" s="173"/>
      <c r="C1" s="173"/>
      <c r="D1" s="173"/>
      <c r="E1" s="173"/>
      <c r="F1" s="173"/>
      <c r="G1" s="173"/>
    </row>
    <row r="2" spans="1:7" ht="15.75" customHeight="1" x14ac:dyDescent="0.2">
      <c r="A2" s="175" t="s">
        <v>770</v>
      </c>
      <c r="B2" s="173"/>
      <c r="C2" s="173"/>
      <c r="D2" s="173"/>
      <c r="E2" s="173"/>
      <c r="F2" s="173"/>
    </row>
    <row r="3" spans="1:7" ht="4.5" customHeight="1" x14ac:dyDescent="0.2">
      <c r="A3" s="88"/>
      <c r="B3" s="88"/>
      <c r="C3" s="88"/>
      <c r="D3" s="88"/>
      <c r="E3" s="88"/>
      <c r="F3" s="88"/>
    </row>
    <row r="4" spans="1:7" ht="36" customHeight="1" x14ac:dyDescent="0.2">
      <c r="A4" s="5" t="s">
        <v>771</v>
      </c>
      <c r="B4" s="5" t="s">
        <v>772</v>
      </c>
      <c r="C4" s="5" t="s">
        <v>773</v>
      </c>
      <c r="D4" s="5" t="s">
        <v>774</v>
      </c>
      <c r="E4" s="5" t="s">
        <v>775</v>
      </c>
      <c r="F4" s="5" t="s">
        <v>776</v>
      </c>
    </row>
    <row r="5" spans="1:7" ht="21.75" customHeight="1" x14ac:dyDescent="0.2">
      <c r="A5" s="184" t="s">
        <v>777</v>
      </c>
      <c r="B5" s="177"/>
      <c r="C5" s="177"/>
      <c r="D5" s="177"/>
      <c r="E5" s="177"/>
      <c r="F5" s="178"/>
    </row>
    <row r="6" spans="1:7" ht="18" customHeight="1" x14ac:dyDescent="0.2">
      <c r="A6" s="132" t="s">
        <v>778</v>
      </c>
      <c r="B6" s="133"/>
      <c r="C6" s="133"/>
      <c r="D6" s="134"/>
      <c r="E6" s="135"/>
      <c r="F6" s="133"/>
    </row>
    <row r="7" spans="1:7" ht="18" customHeight="1" x14ac:dyDescent="0.2">
      <c r="A7" s="136" t="s">
        <v>779</v>
      </c>
      <c r="B7" s="137"/>
      <c r="C7" s="137"/>
      <c r="D7" s="138"/>
      <c r="E7" s="139"/>
      <c r="F7" s="137"/>
    </row>
    <row r="8" spans="1:7" ht="18" customHeight="1" x14ac:dyDescent="0.2">
      <c r="A8" s="132" t="s">
        <v>780</v>
      </c>
      <c r="B8" s="133"/>
      <c r="C8" s="133"/>
      <c r="D8" s="134"/>
      <c r="E8" s="135"/>
      <c r="F8" s="133"/>
    </row>
    <row r="9" spans="1:7" ht="18" customHeight="1" x14ac:dyDescent="0.2">
      <c r="A9" s="136" t="s">
        <v>781</v>
      </c>
      <c r="B9" s="137"/>
      <c r="C9" s="137"/>
      <c r="D9" s="138"/>
      <c r="E9" s="139"/>
      <c r="F9" s="137"/>
    </row>
    <row r="10" spans="1:7" ht="18" customHeight="1" x14ac:dyDescent="0.2">
      <c r="A10" s="103" t="s">
        <v>651</v>
      </c>
      <c r="B10" s="140">
        <f>SUM(B6:B9)</f>
        <v>0</v>
      </c>
      <c r="C10" s="140">
        <f>SUM(C6:C9)</f>
        <v>0</v>
      </c>
      <c r="F10" s="140">
        <f>SUM(F6:F9)</f>
        <v>0</v>
      </c>
    </row>
    <row r="11" spans="1:7" ht="4.5" customHeight="1" x14ac:dyDescent="0.2">
      <c r="A11" s="88"/>
      <c r="B11" s="88"/>
      <c r="C11" s="88"/>
      <c r="D11" s="88"/>
      <c r="E11" s="88"/>
      <c r="F11" s="88"/>
    </row>
    <row r="12" spans="1:7" ht="21.75" customHeight="1" x14ac:dyDescent="0.2">
      <c r="A12" s="229" t="s">
        <v>782</v>
      </c>
      <c r="B12" s="177"/>
      <c r="C12" s="177"/>
      <c r="D12" s="177"/>
      <c r="E12" s="177"/>
      <c r="F12" s="178"/>
    </row>
    <row r="13" spans="1:7" ht="18" customHeight="1" x14ac:dyDescent="0.2">
      <c r="A13" s="141" t="s">
        <v>783</v>
      </c>
      <c r="B13" s="142"/>
      <c r="C13" s="142"/>
      <c r="D13" s="143"/>
      <c r="E13" s="144"/>
      <c r="F13" s="142"/>
    </row>
    <row r="14" spans="1:7" ht="18" customHeight="1" x14ac:dyDescent="0.2">
      <c r="A14" s="136" t="s">
        <v>784</v>
      </c>
      <c r="B14" s="137"/>
      <c r="C14" s="137"/>
      <c r="D14" s="138"/>
      <c r="E14" s="139"/>
      <c r="F14" s="137"/>
    </row>
    <row r="15" spans="1:7" ht="18" customHeight="1" x14ac:dyDescent="0.2">
      <c r="A15" s="141" t="s">
        <v>785</v>
      </c>
      <c r="B15" s="142"/>
      <c r="C15" s="142"/>
      <c r="D15" s="143"/>
      <c r="E15" s="144"/>
      <c r="F15" s="142"/>
    </row>
    <row r="16" spans="1:7" ht="18" customHeight="1" x14ac:dyDescent="0.2">
      <c r="A16" s="136" t="s">
        <v>786</v>
      </c>
      <c r="B16" s="137"/>
      <c r="C16" s="137"/>
      <c r="D16" s="138"/>
      <c r="E16" s="139"/>
      <c r="F16" s="137"/>
    </row>
    <row r="17" spans="1:6" ht="18" customHeight="1" x14ac:dyDescent="0.2">
      <c r="A17" s="141" t="s">
        <v>787</v>
      </c>
      <c r="B17" s="142"/>
      <c r="C17" s="142"/>
      <c r="D17" s="143"/>
      <c r="E17" s="144"/>
      <c r="F17" s="142"/>
    </row>
    <row r="18" spans="1:6" ht="18" customHeight="1" x14ac:dyDescent="0.2">
      <c r="A18" s="136" t="s">
        <v>788</v>
      </c>
      <c r="B18" s="137"/>
      <c r="C18" s="137"/>
      <c r="D18" s="138"/>
      <c r="E18" s="139"/>
      <c r="F18" s="137"/>
    </row>
    <row r="19" spans="1:6" ht="18" customHeight="1" x14ac:dyDescent="0.2">
      <c r="A19" s="141" t="s">
        <v>789</v>
      </c>
      <c r="B19" s="142"/>
      <c r="C19" s="142"/>
      <c r="D19" s="143"/>
      <c r="E19" s="144"/>
      <c r="F19" s="142"/>
    </row>
    <row r="20" spans="1:6" ht="18" customHeight="1" x14ac:dyDescent="0.2">
      <c r="A20" s="136" t="s">
        <v>789</v>
      </c>
      <c r="B20" s="137"/>
      <c r="C20" s="137"/>
      <c r="D20" s="138"/>
      <c r="E20" s="139"/>
      <c r="F20" s="137"/>
    </row>
    <row r="21" spans="1:6" ht="18" customHeight="1" x14ac:dyDescent="0.2">
      <c r="A21" s="103" t="s">
        <v>790</v>
      </c>
      <c r="B21" s="140">
        <f>SUM(B13:B20)</f>
        <v>0</v>
      </c>
      <c r="C21" s="140">
        <f>SUM(C13:C20)</f>
        <v>0</v>
      </c>
      <c r="F21" s="140">
        <f>SUM(F13:F20)</f>
        <v>0</v>
      </c>
    </row>
    <row r="22" spans="1:6" ht="4.5" customHeight="1" x14ac:dyDescent="0.2">
      <c r="A22" s="88"/>
      <c r="B22" s="88"/>
      <c r="C22" s="88"/>
      <c r="D22" s="88"/>
      <c r="E22" s="88"/>
      <c r="F22" s="88"/>
    </row>
    <row r="23" spans="1:6" ht="21.75" customHeight="1" x14ac:dyDescent="0.2">
      <c r="A23" s="145" t="s">
        <v>791</v>
      </c>
      <c r="B23" s="146">
        <f>B10+B21</f>
        <v>0</v>
      </c>
      <c r="C23" s="146">
        <f>C10+C21</f>
        <v>0</v>
      </c>
      <c r="D23" s="147"/>
      <c r="E23" s="147"/>
      <c r="F23" s="147"/>
    </row>
    <row r="24" spans="1:6" ht="4.5" customHeight="1" x14ac:dyDescent="0.2">
      <c r="A24" s="88"/>
      <c r="B24" s="88"/>
      <c r="C24" s="88"/>
      <c r="D24" s="88"/>
      <c r="E24" s="88"/>
      <c r="F24" s="88"/>
    </row>
    <row r="25" spans="1:6" ht="21.75" customHeight="1" x14ac:dyDescent="0.2">
      <c r="A25" s="179" t="s">
        <v>792</v>
      </c>
      <c r="B25" s="177"/>
      <c r="C25" s="177"/>
      <c r="D25" s="177"/>
      <c r="E25" s="177"/>
      <c r="F25" s="178"/>
    </row>
    <row r="26" spans="1:6" ht="36" customHeight="1" x14ac:dyDescent="0.2">
      <c r="A26" s="5" t="s">
        <v>273</v>
      </c>
      <c r="B26" s="5" t="s">
        <v>793</v>
      </c>
      <c r="C26" s="176" t="s">
        <v>352</v>
      </c>
      <c r="D26" s="177"/>
      <c r="E26" s="177"/>
      <c r="F26" s="178"/>
    </row>
    <row r="27" spans="1:6" ht="18" customHeight="1" x14ac:dyDescent="0.2">
      <c r="A27" s="148" t="s">
        <v>794</v>
      </c>
      <c r="B27" s="69">
        <f>INCOME!B97</f>
        <v>8810.32</v>
      </c>
      <c r="C27" s="230" t="s">
        <v>795</v>
      </c>
      <c r="D27" s="177"/>
      <c r="E27" s="177"/>
      <c r="F27" s="178"/>
    </row>
    <row r="28" spans="1:6" ht="18" customHeight="1" x14ac:dyDescent="0.2">
      <c r="A28" s="136" t="s">
        <v>796</v>
      </c>
      <c r="B28" s="39">
        <f>B23</f>
        <v>0</v>
      </c>
      <c r="C28" s="228" t="s">
        <v>797</v>
      </c>
      <c r="D28" s="177"/>
      <c r="E28" s="177"/>
      <c r="F28" s="178"/>
    </row>
    <row r="29" spans="1:6" ht="18" customHeight="1" x14ac:dyDescent="0.2">
      <c r="A29" s="103" t="s">
        <v>798</v>
      </c>
      <c r="B29" s="149">
        <f>IF(B27=0,0,B28/B27)</f>
        <v>0</v>
      </c>
      <c r="C29" s="230" t="s">
        <v>799</v>
      </c>
      <c r="D29" s="177"/>
      <c r="E29" s="177"/>
      <c r="F29" s="178"/>
    </row>
    <row r="30" spans="1:6" ht="18" customHeight="1" x14ac:dyDescent="0.2">
      <c r="A30" s="136" t="s">
        <v>800</v>
      </c>
      <c r="B30" s="39">
        <f>C23</f>
        <v>0</v>
      </c>
      <c r="C30" s="228" t="s">
        <v>801</v>
      </c>
      <c r="D30" s="177"/>
      <c r="E30" s="177"/>
      <c r="F30" s="178"/>
    </row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</sheetData>
  <mergeCells count="10">
    <mergeCell ref="A2:F2"/>
    <mergeCell ref="A1:G1"/>
    <mergeCell ref="A5:F5"/>
    <mergeCell ref="C26:F26"/>
    <mergeCell ref="C29:F29"/>
    <mergeCell ref="C30:F30"/>
    <mergeCell ref="A12:F12"/>
    <mergeCell ref="C27:F27"/>
    <mergeCell ref="C28:F28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4"/>
  <sheetViews>
    <sheetView topLeftCell="A10" zoomScale="251" zoomScaleNormal="251" workbookViewId="0">
      <selection activeCell="C32" sqref="C32"/>
    </sheetView>
  </sheetViews>
  <sheetFormatPr baseColWidth="10" defaultColWidth="8.6640625" defaultRowHeight="15" customHeight="1" x14ac:dyDescent="0.2"/>
  <cols>
    <col min="1" max="1" width="30" customWidth="1"/>
    <col min="2" max="6" width="16" customWidth="1"/>
    <col min="7" max="7" width="30" customWidth="1"/>
  </cols>
  <sheetData>
    <row r="1" spans="1:7" ht="31.5" customHeight="1" x14ac:dyDescent="0.2">
      <c r="A1" s="172" t="s">
        <v>802</v>
      </c>
      <c r="B1" s="173"/>
      <c r="C1" s="173"/>
    </row>
    <row r="2" spans="1:7" ht="15.75" customHeight="1" x14ac:dyDescent="0.2">
      <c r="A2" s="175" t="s">
        <v>803</v>
      </c>
      <c r="B2" s="173"/>
      <c r="C2" s="173"/>
      <c r="D2" s="173"/>
      <c r="E2" s="173"/>
      <c r="F2" s="173"/>
      <c r="G2" s="173"/>
    </row>
    <row r="3" spans="1:7" ht="4.5" customHeight="1" x14ac:dyDescent="0.2">
      <c r="A3" s="88"/>
      <c r="B3" s="88"/>
      <c r="C3" s="88"/>
      <c r="D3" s="88"/>
      <c r="E3" s="88"/>
      <c r="F3" s="88"/>
      <c r="G3" s="88"/>
    </row>
    <row r="4" spans="1:7" ht="21.75" customHeight="1" x14ac:dyDescent="0.2">
      <c r="A4" s="184" t="s">
        <v>804</v>
      </c>
      <c r="B4" s="177"/>
      <c r="C4" s="177"/>
      <c r="D4" s="177"/>
      <c r="E4" s="177"/>
      <c r="F4" s="177"/>
      <c r="G4" s="178"/>
    </row>
    <row r="5" spans="1:7" x14ac:dyDescent="0.2">
      <c r="A5" s="5" t="s">
        <v>805</v>
      </c>
      <c r="B5" s="5" t="s">
        <v>773</v>
      </c>
      <c r="C5" s="176" t="s">
        <v>352</v>
      </c>
      <c r="D5" s="177"/>
      <c r="E5" s="177"/>
      <c r="F5" s="177"/>
      <c r="G5" s="178"/>
    </row>
    <row r="6" spans="1:7" x14ac:dyDescent="0.2">
      <c r="A6" s="150" t="s">
        <v>806</v>
      </c>
      <c r="B6" s="151">
        <v>0</v>
      </c>
      <c r="C6" s="233" t="s">
        <v>807</v>
      </c>
      <c r="D6" s="177"/>
      <c r="E6" s="177"/>
      <c r="F6" s="177"/>
      <c r="G6" s="178"/>
    </row>
    <row r="7" spans="1:7" x14ac:dyDescent="0.2">
      <c r="A7" s="152" t="s">
        <v>806</v>
      </c>
      <c r="B7" s="133">
        <v>8000</v>
      </c>
      <c r="C7" s="231" t="s">
        <v>807</v>
      </c>
      <c r="D7" s="177"/>
      <c r="E7" s="177"/>
      <c r="F7" s="177"/>
      <c r="G7" s="178"/>
    </row>
    <row r="8" spans="1:7" x14ac:dyDescent="0.2">
      <c r="A8" s="153" t="s">
        <v>808</v>
      </c>
      <c r="B8" s="137">
        <v>12000</v>
      </c>
      <c r="C8" s="228" t="s">
        <v>809</v>
      </c>
      <c r="D8" s="177"/>
      <c r="E8" s="177"/>
      <c r="F8" s="177"/>
      <c r="G8" s="178"/>
    </row>
    <row r="9" spans="1:7" x14ac:dyDescent="0.2">
      <c r="A9" s="132" t="s">
        <v>810</v>
      </c>
      <c r="B9" s="133"/>
      <c r="C9" s="231" t="s">
        <v>811</v>
      </c>
      <c r="D9" s="177"/>
      <c r="E9" s="177"/>
      <c r="F9" s="177"/>
      <c r="G9" s="178"/>
    </row>
    <row r="10" spans="1:7" x14ac:dyDescent="0.2">
      <c r="A10" s="154" t="s">
        <v>812</v>
      </c>
      <c r="B10" s="137">
        <v>75000</v>
      </c>
      <c r="C10" s="228" t="s">
        <v>813</v>
      </c>
      <c r="D10" s="177"/>
      <c r="E10" s="177"/>
      <c r="F10" s="177"/>
      <c r="G10" s="178"/>
    </row>
    <row r="11" spans="1:7" x14ac:dyDescent="0.2">
      <c r="A11" s="132" t="s">
        <v>814</v>
      </c>
      <c r="B11" s="133"/>
      <c r="C11" s="231" t="s">
        <v>815</v>
      </c>
      <c r="D11" s="177"/>
      <c r="E11" s="177"/>
      <c r="F11" s="177"/>
      <c r="G11" s="178"/>
    </row>
    <row r="12" spans="1:7" x14ac:dyDescent="0.2">
      <c r="A12" s="136" t="s">
        <v>816</v>
      </c>
      <c r="B12" s="137"/>
      <c r="C12" s="228" t="s">
        <v>817</v>
      </c>
      <c r="D12" s="177"/>
      <c r="E12" s="177"/>
      <c r="F12" s="177"/>
      <c r="G12" s="178"/>
    </row>
    <row r="13" spans="1:7" x14ac:dyDescent="0.2">
      <c r="A13" s="132" t="s">
        <v>818</v>
      </c>
      <c r="B13" s="133"/>
      <c r="C13" s="231"/>
      <c r="D13" s="177"/>
      <c r="E13" s="177"/>
      <c r="F13" s="177"/>
      <c r="G13" s="178"/>
    </row>
    <row r="14" spans="1:7" x14ac:dyDescent="0.2">
      <c r="A14" s="136" t="s">
        <v>819</v>
      </c>
      <c r="B14" s="137"/>
      <c r="C14" s="228"/>
      <c r="D14" s="177"/>
      <c r="E14" s="177"/>
      <c r="F14" s="177"/>
      <c r="G14" s="178"/>
    </row>
    <row r="15" spans="1:7" x14ac:dyDescent="0.2">
      <c r="A15" s="132" t="s">
        <v>820</v>
      </c>
      <c r="B15" s="133"/>
      <c r="C15" s="231"/>
      <c r="D15" s="177"/>
      <c r="E15" s="177"/>
      <c r="F15" s="177"/>
      <c r="G15" s="178"/>
    </row>
    <row r="16" spans="1:7" x14ac:dyDescent="0.2">
      <c r="A16" s="136" t="s">
        <v>821</v>
      </c>
      <c r="B16" s="137"/>
      <c r="C16" s="228"/>
      <c r="D16" s="177"/>
      <c r="E16" s="177"/>
      <c r="F16" s="177"/>
      <c r="G16" s="178"/>
    </row>
    <row r="17" spans="1:7" x14ac:dyDescent="0.2">
      <c r="A17" s="132" t="s">
        <v>822</v>
      </c>
      <c r="B17" s="133"/>
      <c r="C17" s="237"/>
      <c r="D17" s="173"/>
      <c r="E17" s="173"/>
      <c r="F17" s="173"/>
      <c r="G17" s="173"/>
    </row>
    <row r="18" spans="1:7" x14ac:dyDescent="0.2">
      <c r="A18" s="136" t="s">
        <v>823</v>
      </c>
      <c r="B18" s="137"/>
      <c r="C18" s="228" t="s">
        <v>817</v>
      </c>
      <c r="D18" s="177"/>
      <c r="E18" s="177"/>
      <c r="F18" s="177"/>
      <c r="G18" s="178"/>
    </row>
    <row r="19" spans="1:7" ht="18" customHeight="1" x14ac:dyDescent="0.2">
      <c r="A19" s="119" t="s">
        <v>824</v>
      </c>
      <c r="B19" s="133">
        <v>30000</v>
      </c>
      <c r="C19" s="231" t="s">
        <v>825</v>
      </c>
      <c r="D19" s="177"/>
      <c r="E19" s="177"/>
      <c r="F19" s="177"/>
      <c r="G19" s="178"/>
    </row>
    <row r="20" spans="1:7" ht="18" customHeight="1" x14ac:dyDescent="0.2">
      <c r="A20" s="154" t="s">
        <v>826</v>
      </c>
      <c r="B20" s="137">
        <v>58000</v>
      </c>
      <c r="C20" s="228" t="s">
        <v>827</v>
      </c>
      <c r="D20" s="177"/>
      <c r="E20" s="177"/>
      <c r="F20" s="177"/>
      <c r="G20" s="178"/>
    </row>
    <row r="21" spans="1:7" ht="18" customHeight="1" x14ac:dyDescent="0.2">
      <c r="A21" s="103" t="s">
        <v>828</v>
      </c>
      <c r="B21" s="140">
        <f>SUM(B7:B20)</f>
        <v>183000</v>
      </c>
      <c r="C21" s="235"/>
      <c r="D21" s="177"/>
      <c r="E21" s="177"/>
      <c r="F21" s="177"/>
      <c r="G21" s="178"/>
    </row>
    <row r="22" spans="1:7" ht="4.5" customHeight="1" x14ac:dyDescent="0.2">
      <c r="A22" s="88"/>
      <c r="B22" s="88"/>
      <c r="C22" s="88"/>
      <c r="D22" s="88"/>
      <c r="E22" s="88"/>
      <c r="F22" s="88"/>
      <c r="G22" s="88"/>
    </row>
    <row r="23" spans="1:7" ht="21.75" customHeight="1" x14ac:dyDescent="0.2">
      <c r="A23" s="179" t="s">
        <v>829</v>
      </c>
      <c r="B23" s="177"/>
      <c r="C23" s="177"/>
      <c r="D23" s="177"/>
      <c r="E23" s="177"/>
      <c r="F23" s="177"/>
      <c r="G23" s="178"/>
    </row>
    <row r="24" spans="1:7" ht="18" customHeight="1" x14ac:dyDescent="0.2">
      <c r="A24" s="148" t="s">
        <v>830</v>
      </c>
      <c r="B24" s="155"/>
    </row>
    <row r="25" spans="1:7" ht="18" customHeight="1" x14ac:dyDescent="0.2">
      <c r="A25" s="136" t="s">
        <v>831</v>
      </c>
      <c r="B25" s="137"/>
    </row>
    <row r="26" spans="1:7" ht="18" customHeight="1" x14ac:dyDescent="0.2">
      <c r="A26" s="148" t="s">
        <v>832</v>
      </c>
      <c r="B26" s="155"/>
    </row>
    <row r="27" spans="1:7" ht="18" customHeight="1" x14ac:dyDescent="0.2">
      <c r="A27" s="136" t="s">
        <v>833</v>
      </c>
      <c r="B27" s="137"/>
    </row>
    <row r="28" spans="1:7" ht="4.5" customHeight="1" x14ac:dyDescent="0.2">
      <c r="A28" s="88"/>
      <c r="B28" s="88"/>
      <c r="C28" s="88"/>
      <c r="D28" s="88"/>
      <c r="E28" s="88"/>
      <c r="F28" s="88"/>
      <c r="G28" s="88"/>
    </row>
    <row r="29" spans="1:7" ht="21.75" customHeight="1" x14ac:dyDescent="0.2">
      <c r="A29" s="179" t="s">
        <v>834</v>
      </c>
      <c r="B29" s="177"/>
      <c r="C29" s="177"/>
      <c r="D29" s="177"/>
      <c r="E29" s="177"/>
      <c r="F29" s="177"/>
      <c r="G29" s="178"/>
    </row>
    <row r="30" spans="1:7" ht="18" customHeight="1" x14ac:dyDescent="0.2">
      <c r="A30" s="132" t="s">
        <v>835</v>
      </c>
      <c r="B30" s="133">
        <v>25000</v>
      </c>
    </row>
    <row r="31" spans="1:7" ht="18" customHeight="1" x14ac:dyDescent="0.2">
      <c r="A31" s="136" t="s">
        <v>836</v>
      </c>
      <c r="B31" s="137"/>
    </row>
    <row r="32" spans="1:7" ht="18" customHeight="1" x14ac:dyDescent="0.2">
      <c r="A32" s="136" t="s">
        <v>837</v>
      </c>
      <c r="B32" s="137"/>
    </row>
    <row r="33" spans="1:7" ht="18" customHeight="1" x14ac:dyDescent="0.2">
      <c r="A33" s="136" t="s">
        <v>838</v>
      </c>
      <c r="B33" s="137"/>
    </row>
    <row r="34" spans="1:7" ht="21.75" customHeight="1" x14ac:dyDescent="0.2">
      <c r="A34" s="15" t="s">
        <v>839</v>
      </c>
      <c r="B34" s="156">
        <f>B21+SUM(B24:B27)+SUM(B30:B33)</f>
        <v>208000</v>
      </c>
    </row>
    <row r="35" spans="1:7" ht="4.5" customHeight="1" x14ac:dyDescent="0.2">
      <c r="A35" s="88"/>
      <c r="B35" s="88"/>
      <c r="C35" s="88"/>
      <c r="D35" s="88"/>
      <c r="E35" s="88"/>
      <c r="F35" s="88"/>
      <c r="G35" s="88"/>
    </row>
    <row r="36" spans="1:7" ht="21.75" customHeight="1" x14ac:dyDescent="0.2">
      <c r="A36" s="179" t="s">
        <v>840</v>
      </c>
      <c r="B36" s="177"/>
      <c r="C36" s="177"/>
      <c r="D36" s="177"/>
      <c r="E36" s="177"/>
      <c r="F36" s="177"/>
      <c r="G36" s="178"/>
    </row>
    <row r="37" spans="1:7" ht="18" customHeight="1" x14ac:dyDescent="0.2">
      <c r="A37" s="103" t="s">
        <v>841</v>
      </c>
      <c r="B37" s="157">
        <f>DEBT!C23</f>
        <v>0</v>
      </c>
    </row>
    <row r="38" spans="1:7" ht="21.75" customHeight="1" x14ac:dyDescent="0.2">
      <c r="A38" s="145" t="s">
        <v>842</v>
      </c>
      <c r="B38" s="146">
        <f>B34-B37</f>
        <v>208000</v>
      </c>
    </row>
    <row r="39" spans="1:7" ht="4.5" customHeight="1" x14ac:dyDescent="0.2">
      <c r="A39" s="88"/>
      <c r="B39" s="88"/>
      <c r="C39" s="88"/>
      <c r="D39" s="88"/>
      <c r="E39" s="88"/>
      <c r="F39" s="88"/>
      <c r="G39" s="88"/>
    </row>
    <row r="40" spans="1:7" ht="21.75" customHeight="1" x14ac:dyDescent="0.2">
      <c r="A40" s="184" t="s">
        <v>843</v>
      </c>
      <c r="B40" s="177"/>
      <c r="C40" s="177"/>
      <c r="D40" s="177"/>
      <c r="E40" s="177"/>
      <c r="F40" s="177"/>
      <c r="G40" s="178"/>
    </row>
    <row r="41" spans="1:7" ht="15.75" customHeight="1" x14ac:dyDescent="0.2">
      <c r="A41" s="236" t="s">
        <v>844</v>
      </c>
      <c r="B41" s="173"/>
      <c r="C41" s="173"/>
      <c r="D41" s="173"/>
      <c r="E41" s="173"/>
      <c r="F41" s="173"/>
      <c r="G41" s="173"/>
    </row>
    <row r="42" spans="1:7" ht="4.5" customHeight="1" x14ac:dyDescent="0.2">
      <c r="A42" s="88"/>
      <c r="B42" s="88"/>
      <c r="C42" s="88"/>
      <c r="D42" s="88"/>
      <c r="E42" s="88"/>
      <c r="F42" s="88"/>
      <c r="G42" s="88"/>
    </row>
    <row r="43" spans="1:7" ht="36" customHeight="1" x14ac:dyDescent="0.2">
      <c r="A43" s="5" t="s">
        <v>845</v>
      </c>
      <c r="B43" s="5" t="s">
        <v>846</v>
      </c>
      <c r="C43" s="2" t="s">
        <v>847</v>
      </c>
      <c r="D43" s="3" t="s">
        <v>848</v>
      </c>
      <c r="E43" s="4" t="s">
        <v>849</v>
      </c>
      <c r="F43" s="2" t="s">
        <v>850</v>
      </c>
      <c r="G43" s="5" t="s">
        <v>352</v>
      </c>
    </row>
    <row r="44" spans="1:7" ht="18" customHeight="1" x14ac:dyDescent="0.2">
      <c r="A44" s="152" t="s">
        <v>851</v>
      </c>
      <c r="B44" s="132" t="s">
        <v>852</v>
      </c>
      <c r="C44" s="158">
        <f>PROJECTIONS!$L$5</f>
        <v>228367.51199999999</v>
      </c>
      <c r="D44" s="158">
        <f>PROJECTIONS!$U$5</f>
        <v>228367.51199999999</v>
      </c>
      <c r="E44" s="158">
        <f>PROJECTIONS!$AD$5</f>
        <v>228367.51199999999</v>
      </c>
      <c r="F44" s="158">
        <f>PROJECTIONS!$L$5*0.04</f>
        <v>9134.7004799999995</v>
      </c>
      <c r="G44" s="114" t="s">
        <v>853</v>
      </c>
    </row>
    <row r="45" spans="1:7" ht="18" customHeight="1" x14ac:dyDescent="0.2">
      <c r="A45" s="153" t="s">
        <v>854</v>
      </c>
      <c r="B45" s="136" t="s">
        <v>855</v>
      </c>
      <c r="C45" s="159">
        <f>PROJECTIONS!$L$6</f>
        <v>277239.96179999993</v>
      </c>
      <c r="D45" s="159">
        <f>PROJECTIONS!$U$6</f>
        <v>277239.96179999993</v>
      </c>
      <c r="E45" s="159">
        <f>PROJECTIONS!$AD$6</f>
        <v>277239.96179999993</v>
      </c>
      <c r="F45" s="159">
        <f>PROJECTIONS!$L$6*0.04</f>
        <v>11089.598471999998</v>
      </c>
      <c r="G45" s="115" t="s">
        <v>856</v>
      </c>
    </row>
    <row r="46" spans="1:7" ht="18" customHeight="1" x14ac:dyDescent="0.2">
      <c r="A46" s="152" t="s">
        <v>857</v>
      </c>
      <c r="B46" s="132" t="s">
        <v>858</v>
      </c>
      <c r="C46" s="158">
        <f>PROJECTIONS!$L$9</f>
        <v>447504.57402464398</v>
      </c>
      <c r="D46" s="158">
        <f>PROJECTIONS!$U$9</f>
        <v>421449.33529648616</v>
      </c>
      <c r="E46" s="158">
        <f>PROJECTIONS!$AD$9</f>
        <v>372033.42737620376</v>
      </c>
      <c r="F46" s="158">
        <f>PROJECTIONS!$L$9*0.04</f>
        <v>17900.18296098576</v>
      </c>
      <c r="G46" s="114"/>
    </row>
    <row r="47" spans="1:7" ht="18" customHeight="1" x14ac:dyDescent="0.2">
      <c r="A47" s="153" t="s">
        <v>859</v>
      </c>
      <c r="B47" s="136" t="s">
        <v>860</v>
      </c>
      <c r="C47" s="159">
        <f>PROJECTIONS!$L$13</f>
        <v>718927.56452072738</v>
      </c>
      <c r="D47" s="159">
        <f>PROJECTIONS!$U$13</f>
        <v>679041.96110126935</v>
      </c>
      <c r="E47" s="159">
        <f>PROJECTIONS!$AD$13</f>
        <v>571490.5069026351</v>
      </c>
      <c r="F47" s="159">
        <f>PROJECTIONS!$L$13*0.04</f>
        <v>28757.102580829094</v>
      </c>
      <c r="G47" s="115" t="s">
        <v>861</v>
      </c>
    </row>
    <row r="48" spans="1:7" ht="18" customHeight="1" x14ac:dyDescent="0.2">
      <c r="A48" s="152" t="s">
        <v>862</v>
      </c>
      <c r="B48" s="132" t="s">
        <v>863</v>
      </c>
      <c r="C48" s="158">
        <f>PROJECTIONS!$L$19</f>
        <v>1260478.7320932662</v>
      </c>
      <c r="D48" s="158">
        <f>PROJECTIONS!$U$19</f>
        <v>1259506.3354086338</v>
      </c>
      <c r="E48" s="158">
        <f>PROJECTIONS!$AD$19</f>
        <v>1109626.6202631372</v>
      </c>
      <c r="F48" s="158">
        <f>PROJECTIONS!$L$19*0.04</f>
        <v>50419.14928373065</v>
      </c>
      <c r="G48" s="114" t="s">
        <v>864</v>
      </c>
    </row>
    <row r="49" spans="1:7" ht="18" customHeight="1" x14ac:dyDescent="0.2">
      <c r="A49" s="153" t="s">
        <v>865</v>
      </c>
      <c r="B49" s="136" t="s">
        <v>866</v>
      </c>
      <c r="C49" s="159">
        <f>PROJECTIONS!$L$28</f>
        <v>2836203.5645807004</v>
      </c>
      <c r="D49" s="159">
        <f>PROJECTIONS!$U$28</f>
        <v>2832452.0670153848</v>
      </c>
      <c r="E49" s="159">
        <f>PROJECTIONS!$AD$28</f>
        <v>2589009.8579146327</v>
      </c>
      <c r="F49" s="159">
        <f>PROJECTIONS!$L$28*0.04</f>
        <v>113448.14258322802</v>
      </c>
      <c r="G49" s="115" t="s">
        <v>867</v>
      </c>
    </row>
    <row r="50" spans="1:7" ht="18" customHeight="1" x14ac:dyDescent="0.2">
      <c r="A50" s="152" t="s">
        <v>868</v>
      </c>
      <c r="B50" s="132" t="s">
        <v>869</v>
      </c>
      <c r="C50" s="158">
        <f>PROJECTIONS!$L$35</f>
        <v>5052211.1701148599</v>
      </c>
      <c r="D50" s="158">
        <f>PROJECTIONS!$U$35</f>
        <v>5043189.3577253902</v>
      </c>
      <c r="E50" s="158">
        <f>PROJECTIONS!$AD$35</f>
        <v>4693343.4442596398</v>
      </c>
      <c r="F50" s="158">
        <f>PROJECTIONS!$L$35*0.04</f>
        <v>202088.44680459439</v>
      </c>
      <c r="G50" s="114" t="s">
        <v>870</v>
      </c>
    </row>
    <row r="51" spans="1:7" ht="18" customHeight="1" x14ac:dyDescent="0.2">
      <c r="A51" s="153" t="s">
        <v>871</v>
      </c>
      <c r="B51" s="136" t="s">
        <v>872</v>
      </c>
      <c r="C51" s="159">
        <f>PROJECTIONS!$L$39</f>
        <v>6934908.6440767031</v>
      </c>
      <c r="D51" s="159">
        <f>PROJECTIONS!$U$39</f>
        <v>6919269.8737400807</v>
      </c>
      <c r="E51" s="159">
        <f>PROJECTIONS!$AD$39</f>
        <v>6492183.1740997834</v>
      </c>
      <c r="F51" s="159">
        <f>PROJECTIONS!$L$39*0.04</f>
        <v>277396.34576306812</v>
      </c>
      <c r="G51" s="115" t="s">
        <v>873</v>
      </c>
    </row>
    <row r="52" spans="1:7" ht="18" customHeight="1" x14ac:dyDescent="0.2">
      <c r="A52" s="152" t="s">
        <v>874</v>
      </c>
      <c r="B52" s="132" t="s">
        <v>875</v>
      </c>
      <c r="C52" s="158">
        <f>PROJECTIONS!$L$42</f>
        <v>8752728.9895449411</v>
      </c>
      <c r="D52" s="158">
        <f>PROJECTIONS!$U$42</f>
        <v>8728787.2626296915</v>
      </c>
      <c r="E52" s="158">
        <f>PROJECTIONS!$AD$42</f>
        <v>8235031.380672954</v>
      </c>
      <c r="F52" s="158">
        <f>PROJECTIONS!$L$42*0.04</f>
        <v>350109.15958179766</v>
      </c>
      <c r="G52" s="114" t="s">
        <v>876</v>
      </c>
    </row>
    <row r="53" spans="1:7" ht="18" customHeight="1" x14ac:dyDescent="0.2">
      <c r="A53" s="153" t="s">
        <v>877</v>
      </c>
      <c r="B53" s="136" t="s">
        <v>878</v>
      </c>
      <c r="C53" s="159">
        <f>PROJECTIONS!$L$49</f>
        <v>14881651.710009703</v>
      </c>
      <c r="D53" s="159">
        <f>PROJECTIONS!$U$49</f>
        <v>14817059.775916021</v>
      </c>
      <c r="E53" s="159">
        <f>PROJECTIONS!$AD$49</f>
        <v>14137681.646831414</v>
      </c>
      <c r="F53" s="159">
        <f>PROJECTIONS!$L$49*0.04</f>
        <v>595266.06840038812</v>
      </c>
      <c r="G53" s="115"/>
    </row>
    <row r="54" spans="1:7" ht="18" customHeight="1" x14ac:dyDescent="0.2">
      <c r="A54" s="152" t="s">
        <v>879</v>
      </c>
      <c r="B54" s="132" t="s">
        <v>880</v>
      </c>
      <c r="C54" s="158">
        <f>PROJECTIONS!$L$55</f>
        <v>23204782.677088704</v>
      </c>
      <c r="D54" s="158">
        <f>PROJECTIONS!$U$55</f>
        <v>23058616.753627352</v>
      </c>
      <c r="E54" s="158">
        <f>PROJECTIONS!$AD$55</f>
        <v>22191106.315724816</v>
      </c>
      <c r="F54" s="158">
        <f>PROJECTIONS!$L$55*0.04</f>
        <v>928191.30708354816</v>
      </c>
      <c r="G54" s="114" t="s">
        <v>881</v>
      </c>
    </row>
    <row r="55" spans="1:7" ht="4.5" customHeight="1" x14ac:dyDescent="0.2">
      <c r="A55" s="88"/>
      <c r="B55" s="88"/>
      <c r="C55" s="88"/>
      <c r="D55" s="88"/>
      <c r="E55" s="88"/>
      <c r="F55" s="88"/>
      <c r="G55" s="88"/>
    </row>
    <row r="56" spans="1:7" ht="21.75" customHeight="1" x14ac:dyDescent="0.2">
      <c r="A56" s="179" t="s">
        <v>882</v>
      </c>
      <c r="B56" s="177"/>
      <c r="C56" s="177"/>
      <c r="D56" s="177"/>
      <c r="E56" s="177"/>
      <c r="F56" s="177"/>
      <c r="G56" s="178"/>
    </row>
    <row r="57" spans="1:7" ht="18" customHeight="1" x14ac:dyDescent="0.2">
      <c r="A57" s="232" t="s">
        <v>883</v>
      </c>
      <c r="B57" s="177"/>
      <c r="C57" s="177"/>
      <c r="D57" s="177"/>
      <c r="E57" s="177"/>
      <c r="F57" s="177"/>
      <c r="G57" s="178"/>
    </row>
    <row r="58" spans="1:7" ht="18" customHeight="1" x14ac:dyDescent="0.2">
      <c r="A58" s="234" t="s">
        <v>884</v>
      </c>
      <c r="B58" s="177"/>
      <c r="C58" s="177"/>
      <c r="D58" s="177"/>
      <c r="E58" s="177"/>
      <c r="F58" s="177"/>
      <c r="G58" s="178"/>
    </row>
    <row r="59" spans="1:7" ht="18" customHeight="1" x14ac:dyDescent="0.2">
      <c r="A59" s="232" t="s">
        <v>885</v>
      </c>
      <c r="B59" s="177"/>
      <c r="C59" s="177"/>
      <c r="D59" s="177"/>
      <c r="E59" s="177"/>
      <c r="F59" s="177"/>
      <c r="G59" s="178"/>
    </row>
    <row r="60" spans="1:7" ht="18" customHeight="1" x14ac:dyDescent="0.2">
      <c r="A60" s="234" t="s">
        <v>886</v>
      </c>
      <c r="B60" s="177"/>
      <c r="C60" s="177"/>
      <c r="D60" s="177"/>
      <c r="E60" s="177"/>
      <c r="F60" s="177"/>
      <c r="G60" s="178"/>
    </row>
    <row r="61" spans="1:7" ht="18" customHeight="1" x14ac:dyDescent="0.2">
      <c r="A61" s="232" t="s">
        <v>887</v>
      </c>
      <c r="B61" s="177"/>
      <c r="C61" s="177"/>
      <c r="D61" s="177"/>
      <c r="E61" s="177"/>
      <c r="F61" s="177"/>
      <c r="G61" s="178"/>
    </row>
    <row r="62" spans="1:7" ht="18" customHeight="1" x14ac:dyDescent="0.2">
      <c r="A62" s="234" t="s">
        <v>888</v>
      </c>
      <c r="B62" s="177"/>
      <c r="C62" s="177"/>
      <c r="D62" s="177"/>
      <c r="E62" s="177"/>
      <c r="F62" s="177"/>
      <c r="G62" s="178"/>
    </row>
    <row r="63" spans="1:7" ht="18" customHeight="1" x14ac:dyDescent="0.2">
      <c r="A63" s="232" t="s">
        <v>889</v>
      </c>
      <c r="B63" s="177"/>
      <c r="C63" s="177"/>
      <c r="D63" s="177"/>
      <c r="E63" s="177"/>
      <c r="F63" s="177"/>
      <c r="G63" s="178"/>
    </row>
    <row r="64" spans="1:7" ht="18" customHeight="1" x14ac:dyDescent="0.2">
      <c r="A64" s="234" t="s">
        <v>890</v>
      </c>
      <c r="B64" s="177"/>
      <c r="C64" s="177"/>
      <c r="D64" s="177"/>
      <c r="E64" s="177"/>
      <c r="F64" s="177"/>
      <c r="G64" s="178"/>
    </row>
  </sheetData>
  <mergeCells count="34">
    <mergeCell ref="A62:G62"/>
    <mergeCell ref="C5:G5"/>
    <mergeCell ref="A29:G29"/>
    <mergeCell ref="C14:G14"/>
    <mergeCell ref="C8:G8"/>
    <mergeCell ref="C7:G7"/>
    <mergeCell ref="A64:G64"/>
    <mergeCell ref="A59:G59"/>
    <mergeCell ref="A60:G60"/>
    <mergeCell ref="C9:G9"/>
    <mergeCell ref="A36:G36"/>
    <mergeCell ref="C21:G21"/>
    <mergeCell ref="A61:G61"/>
    <mergeCell ref="C12:G12"/>
    <mergeCell ref="C11:G11"/>
    <mergeCell ref="A41:G41"/>
    <mergeCell ref="C17:G17"/>
    <mergeCell ref="A56:G56"/>
    <mergeCell ref="A63:G63"/>
    <mergeCell ref="A58:G58"/>
    <mergeCell ref="C20:G20"/>
    <mergeCell ref="A40:G40"/>
    <mergeCell ref="A1:C1"/>
    <mergeCell ref="C19:G19"/>
    <mergeCell ref="A2:G2"/>
    <mergeCell ref="A57:G57"/>
    <mergeCell ref="C13:G13"/>
    <mergeCell ref="C18:G18"/>
    <mergeCell ref="A23:G23"/>
    <mergeCell ref="C10:G10"/>
    <mergeCell ref="C16:G16"/>
    <mergeCell ref="C6:G6"/>
    <mergeCell ref="C15:G15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8"/>
  <sheetViews>
    <sheetView zoomScaleNormal="100" workbookViewId="0">
      <selection activeCell="E49" sqref="E49"/>
    </sheetView>
  </sheetViews>
  <sheetFormatPr baseColWidth="10" defaultColWidth="8.6640625" defaultRowHeight="15" x14ac:dyDescent="0.2"/>
  <cols>
    <col min="1" max="1" width="26" customWidth="1"/>
    <col min="2" max="5" width="20" customWidth="1"/>
    <col min="6" max="6" width="40.1640625" customWidth="1"/>
  </cols>
  <sheetData>
    <row r="1" spans="1:6" x14ac:dyDescent="0.2">
      <c r="A1" s="172" t="s">
        <v>891</v>
      </c>
      <c r="B1" s="173"/>
      <c r="C1" s="173"/>
      <c r="D1" s="173"/>
      <c r="E1" s="173"/>
      <c r="F1" s="173"/>
    </row>
    <row r="2" spans="1:6" x14ac:dyDescent="0.2">
      <c r="A2" s="175" t="s">
        <v>892</v>
      </c>
      <c r="B2" s="173"/>
      <c r="C2" s="173"/>
      <c r="D2" s="173"/>
      <c r="E2" s="173"/>
      <c r="F2" s="173"/>
    </row>
    <row r="3" spans="1:6" x14ac:dyDescent="0.2">
      <c r="A3" s="88"/>
      <c r="B3" s="88"/>
      <c r="C3" s="88"/>
      <c r="D3" s="88"/>
      <c r="E3" s="88"/>
      <c r="F3" s="88"/>
    </row>
    <row r="4" spans="1:6" x14ac:dyDescent="0.2">
      <c r="A4" s="179" t="s">
        <v>893</v>
      </c>
      <c r="B4" s="177"/>
      <c r="C4" s="177"/>
      <c r="D4" s="177"/>
      <c r="E4" s="177"/>
      <c r="F4" s="178"/>
    </row>
    <row r="5" spans="1:6" x14ac:dyDescent="0.2">
      <c r="A5" s="5" t="s">
        <v>273</v>
      </c>
      <c r="B5" s="2" t="s">
        <v>894</v>
      </c>
      <c r="C5" s="3" t="s">
        <v>895</v>
      </c>
      <c r="D5" s="4" t="s">
        <v>896</v>
      </c>
      <c r="E5" s="5"/>
      <c r="F5" s="5" t="s">
        <v>352</v>
      </c>
    </row>
    <row r="6" spans="1:6" x14ac:dyDescent="0.2">
      <c r="A6" s="148" t="s">
        <v>897</v>
      </c>
      <c r="B6" s="157">
        <f>INCOME!B97</f>
        <v>8810.32</v>
      </c>
      <c r="C6" s="157">
        <f>INCOME!C97</f>
        <v>9803.15</v>
      </c>
      <c r="D6" s="157">
        <f>INCOME!D97</f>
        <v>3333</v>
      </c>
      <c r="E6" s="105"/>
      <c r="F6" s="117"/>
    </row>
    <row r="7" spans="1:6" x14ac:dyDescent="0.2">
      <c r="A7" s="136" t="s">
        <v>898</v>
      </c>
      <c r="B7" s="159">
        <f>INCOME!B99</f>
        <v>7720.37</v>
      </c>
      <c r="C7" s="159">
        <f>INCOME!C99</f>
        <v>6794.3899999999994</v>
      </c>
      <c r="D7" s="159">
        <f>INCOME!D99</f>
        <v>3333</v>
      </c>
      <c r="E7" s="86"/>
      <c r="F7" s="115" t="s">
        <v>899</v>
      </c>
    </row>
    <row r="8" spans="1:6" x14ac:dyDescent="0.2">
      <c r="A8" s="148" t="s">
        <v>900</v>
      </c>
      <c r="B8" s="157">
        <f>EXPENSES!B126</f>
        <v>2393.8199999999997</v>
      </c>
      <c r="C8" s="157">
        <f>EXPENSES!C126</f>
        <v>5053.82</v>
      </c>
      <c r="D8" s="157">
        <f>EXPENSES!D126</f>
        <v>4152</v>
      </c>
      <c r="E8" s="105"/>
      <c r="F8" s="117" t="s">
        <v>901</v>
      </c>
    </row>
    <row r="9" spans="1:6" x14ac:dyDescent="0.2">
      <c r="A9" s="136" t="s">
        <v>902</v>
      </c>
      <c r="B9" s="159">
        <f>DEBT!B23</f>
        <v>0</v>
      </c>
      <c r="C9" s="159">
        <f>DEBT!B23</f>
        <v>0</v>
      </c>
      <c r="D9" s="159">
        <f>DEBT!B23</f>
        <v>0</v>
      </c>
      <c r="E9" s="86"/>
      <c r="F9" s="115" t="s">
        <v>903</v>
      </c>
    </row>
    <row r="10" spans="1:6" x14ac:dyDescent="0.2">
      <c r="A10" s="103" t="s">
        <v>904</v>
      </c>
      <c r="B10" s="140">
        <f>B6-B8-B9</f>
        <v>6416.5</v>
      </c>
      <c r="C10" s="140">
        <f>C6-C8-C9</f>
        <v>4749.33</v>
      </c>
      <c r="D10" s="140">
        <f>D6-D8-D9</f>
        <v>-819</v>
      </c>
      <c r="E10" s="105"/>
      <c r="F10" s="117" t="s">
        <v>905</v>
      </c>
    </row>
    <row r="11" spans="1:6" x14ac:dyDescent="0.2">
      <c r="A11" s="153" t="s">
        <v>906</v>
      </c>
      <c r="B11" s="160">
        <f>DEBT!B29</f>
        <v>0</v>
      </c>
      <c r="C11" s="160">
        <f>DEBT!B29</f>
        <v>0</v>
      </c>
      <c r="D11" s="160">
        <f>DEBT!B29</f>
        <v>0</v>
      </c>
      <c r="E11" s="86"/>
      <c r="F11" s="115" t="s">
        <v>907</v>
      </c>
    </row>
    <row r="12" spans="1:6" x14ac:dyDescent="0.2">
      <c r="A12" s="88"/>
      <c r="B12" s="88"/>
      <c r="C12" s="88"/>
      <c r="D12" s="88"/>
      <c r="E12" s="88"/>
      <c r="F12" s="88"/>
    </row>
    <row r="13" spans="1:6" x14ac:dyDescent="0.2">
      <c r="A13" s="179" t="s">
        <v>908</v>
      </c>
      <c r="B13" s="177"/>
      <c r="C13" s="177"/>
      <c r="D13" s="177"/>
      <c r="E13" s="177"/>
      <c r="F13" s="178"/>
    </row>
    <row r="14" spans="1:6" x14ac:dyDescent="0.2">
      <c r="A14" s="5" t="s">
        <v>273</v>
      </c>
      <c r="B14" s="2" t="s">
        <v>909</v>
      </c>
      <c r="C14" s="3" t="s">
        <v>910</v>
      </c>
      <c r="D14" s="4" t="s">
        <v>911</v>
      </c>
      <c r="E14" s="5"/>
      <c r="F14" s="5" t="s">
        <v>352</v>
      </c>
    </row>
    <row r="15" spans="1:6" x14ac:dyDescent="0.2">
      <c r="A15" s="148" t="s">
        <v>912</v>
      </c>
      <c r="B15" s="157">
        <f>PROJECTIONS!L55</f>
        <v>23204782.677088704</v>
      </c>
      <c r="C15" s="157">
        <f>PROJECTIONS!U55</f>
        <v>23058616.753627352</v>
      </c>
      <c r="D15" s="157">
        <f>PROJECTIONS!AD55</f>
        <v>22191106.315724816</v>
      </c>
      <c r="E15" s="105"/>
      <c r="F15" s="117" t="s">
        <v>913</v>
      </c>
    </row>
    <row r="16" spans="1:6" x14ac:dyDescent="0.2">
      <c r="A16" s="136" t="s">
        <v>454</v>
      </c>
      <c r="B16" s="159">
        <f>PROJECTIONS!E59</f>
        <v>23189290.747431155</v>
      </c>
      <c r="C16" s="159">
        <f>PROJECTIONS!N59</f>
        <v>25656780.837968871</v>
      </c>
      <c r="D16" s="159">
        <f>PROJECTIONS!W59</f>
        <v>25673725.126834188</v>
      </c>
      <c r="E16" s="86"/>
      <c r="F16" s="115" t="s">
        <v>914</v>
      </c>
    </row>
    <row r="17" spans="1:6" x14ac:dyDescent="0.2">
      <c r="A17" s="148" t="s">
        <v>915</v>
      </c>
      <c r="B17" s="157">
        <f>PROJECTIONS!E61</f>
        <v>6763165.4922827873</v>
      </c>
      <c r="C17" s="157">
        <f>PROJECTIONS!N61</f>
        <v>7214981.6870725071</v>
      </c>
      <c r="D17" s="157">
        <f>PROJECTIONS!W61</f>
        <v>7680940.9838550771</v>
      </c>
      <c r="E17" s="105"/>
      <c r="F17" s="117"/>
    </row>
    <row r="18" spans="1:6" x14ac:dyDescent="0.2">
      <c r="A18" s="136" t="s">
        <v>916</v>
      </c>
      <c r="B18" s="159">
        <f>PROJECTIONS!E62</f>
        <v>15421.568406715816</v>
      </c>
      <c r="C18" s="159">
        <f>PROJECTIONS!N62</f>
        <v>1591028.2122649751</v>
      </c>
      <c r="D18" s="159">
        <f>PROJECTIONS!W62</f>
        <v>3000</v>
      </c>
      <c r="E18" s="86"/>
      <c r="F18" s="115"/>
    </row>
    <row r="19" spans="1:6" x14ac:dyDescent="0.2">
      <c r="A19" s="148" t="s">
        <v>917</v>
      </c>
      <c r="B19" s="157">
        <f>PROJECTIONS!L35</f>
        <v>5052211.1701148599</v>
      </c>
      <c r="C19" s="157">
        <f>PROJECTIONS!U35</f>
        <v>5043189.3577253902</v>
      </c>
      <c r="D19" s="157">
        <f>PROJECTIONS!AD35</f>
        <v>4693343.4442596398</v>
      </c>
      <c r="E19" s="105"/>
      <c r="F19" s="117" t="s">
        <v>918</v>
      </c>
    </row>
    <row r="20" spans="1:6" x14ac:dyDescent="0.2">
      <c r="A20" s="136" t="s">
        <v>919</v>
      </c>
      <c r="B20" s="39">
        <f>B19*0.04</f>
        <v>202088.44680459439</v>
      </c>
      <c r="C20" s="39">
        <f>C19*0.04</f>
        <v>201727.57430901562</v>
      </c>
      <c r="D20" s="39">
        <f>D19*0.04</f>
        <v>187733.7377703856</v>
      </c>
      <c r="E20" s="86"/>
      <c r="F20" s="115" t="s">
        <v>920</v>
      </c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179" t="s">
        <v>921</v>
      </c>
      <c r="B22" s="177"/>
      <c r="C22" s="177"/>
      <c r="D22" s="177"/>
      <c r="E22" s="177"/>
      <c r="F22" s="178"/>
    </row>
    <row r="23" spans="1:6" x14ac:dyDescent="0.2">
      <c r="A23" s="5" t="s">
        <v>922</v>
      </c>
      <c r="B23" s="5" t="s">
        <v>923</v>
      </c>
      <c r="C23" s="176" t="s">
        <v>924</v>
      </c>
      <c r="D23" s="177"/>
      <c r="E23" s="178"/>
      <c r="F23" s="5" t="s">
        <v>925</v>
      </c>
    </row>
    <row r="24" spans="1:6" s="169" customFormat="1" ht="26" x14ac:dyDescent="0.2">
      <c r="A24" s="161">
        <v>1</v>
      </c>
      <c r="B24" s="162" t="s">
        <v>926</v>
      </c>
      <c r="C24" s="170" t="s">
        <v>927</v>
      </c>
      <c r="D24" s="171"/>
      <c r="E24" s="163" t="s">
        <v>928</v>
      </c>
      <c r="F24" s="168" t="s">
        <v>929</v>
      </c>
    </row>
    <row r="25" spans="1:6" s="169" customFormat="1" ht="26" x14ac:dyDescent="0.2">
      <c r="A25" s="161">
        <v>2</v>
      </c>
      <c r="B25" s="162" t="s">
        <v>926</v>
      </c>
      <c r="C25" s="174" t="s">
        <v>930</v>
      </c>
      <c r="D25" s="171"/>
      <c r="E25" s="163" t="s">
        <v>928</v>
      </c>
      <c r="F25" s="168" t="s">
        <v>931</v>
      </c>
    </row>
    <row r="26" spans="1:6" s="169" customFormat="1" ht="26" x14ac:dyDescent="0.2">
      <c r="A26" s="161">
        <v>3</v>
      </c>
      <c r="B26" s="162" t="s">
        <v>926</v>
      </c>
      <c r="C26" s="170" t="s">
        <v>932</v>
      </c>
      <c r="D26" s="171"/>
      <c r="E26" s="163" t="s">
        <v>928</v>
      </c>
      <c r="F26" s="168" t="s">
        <v>933</v>
      </c>
    </row>
    <row r="27" spans="1:6" s="169" customFormat="1" ht="26" x14ac:dyDescent="0.2">
      <c r="A27" s="161">
        <v>4</v>
      </c>
      <c r="B27" s="162" t="s">
        <v>926</v>
      </c>
      <c r="C27" s="174" t="s">
        <v>934</v>
      </c>
      <c r="D27" s="171"/>
      <c r="E27" s="163" t="s">
        <v>928</v>
      </c>
      <c r="F27" s="168" t="s">
        <v>964</v>
      </c>
    </row>
    <row r="28" spans="1:6" s="169" customFormat="1" ht="26" x14ac:dyDescent="0.2">
      <c r="A28" s="161">
        <v>5</v>
      </c>
      <c r="B28" s="162" t="s">
        <v>935</v>
      </c>
      <c r="C28" s="170" t="s">
        <v>936</v>
      </c>
      <c r="D28" s="171"/>
      <c r="E28" s="164" t="s">
        <v>102</v>
      </c>
      <c r="F28" s="168" t="s">
        <v>937</v>
      </c>
    </row>
    <row r="29" spans="1:6" s="169" customFormat="1" ht="26" x14ac:dyDescent="0.2">
      <c r="A29" s="161">
        <v>6</v>
      </c>
      <c r="B29" s="162" t="s">
        <v>935</v>
      </c>
      <c r="C29" s="174" t="s">
        <v>938</v>
      </c>
      <c r="D29" s="171"/>
      <c r="E29" s="164" t="s">
        <v>102</v>
      </c>
      <c r="F29" s="168" t="s">
        <v>939</v>
      </c>
    </row>
    <row r="30" spans="1:6" s="169" customFormat="1" ht="26" x14ac:dyDescent="0.2">
      <c r="A30" s="161">
        <v>7</v>
      </c>
      <c r="B30" s="162" t="s">
        <v>935</v>
      </c>
      <c r="C30" s="170" t="s">
        <v>940</v>
      </c>
      <c r="D30" s="171"/>
      <c r="E30" s="164" t="s">
        <v>102</v>
      </c>
      <c r="F30" s="168" t="s">
        <v>941</v>
      </c>
    </row>
    <row r="31" spans="1:6" s="169" customFormat="1" ht="26" x14ac:dyDescent="0.2">
      <c r="A31" s="161">
        <v>8</v>
      </c>
      <c r="B31" s="162" t="s">
        <v>935</v>
      </c>
      <c r="C31" s="174" t="s">
        <v>942</v>
      </c>
      <c r="D31" s="171"/>
      <c r="E31" s="164" t="s">
        <v>102</v>
      </c>
      <c r="F31" s="168" t="s">
        <v>943</v>
      </c>
    </row>
    <row r="32" spans="1:6" s="169" customFormat="1" ht="26" x14ac:dyDescent="0.2">
      <c r="A32" s="161">
        <v>9</v>
      </c>
      <c r="B32" s="162" t="s">
        <v>935</v>
      </c>
      <c r="C32" s="170" t="s">
        <v>944</v>
      </c>
      <c r="D32" s="171"/>
      <c r="E32" s="164" t="s">
        <v>102</v>
      </c>
      <c r="F32" s="168" t="s">
        <v>945</v>
      </c>
    </row>
    <row r="33" spans="1:6" s="169" customFormat="1" ht="26" x14ac:dyDescent="0.2">
      <c r="A33" s="161">
        <v>10</v>
      </c>
      <c r="B33" s="162" t="s">
        <v>935</v>
      </c>
      <c r="C33" s="174" t="s">
        <v>946</v>
      </c>
      <c r="D33" s="171"/>
      <c r="E33" s="165" t="s">
        <v>947</v>
      </c>
      <c r="F33" s="168" t="s">
        <v>948</v>
      </c>
    </row>
    <row r="34" spans="1:6" s="169" customFormat="1" ht="26" x14ac:dyDescent="0.2">
      <c r="A34" s="161">
        <v>11</v>
      </c>
      <c r="B34" s="162" t="s">
        <v>935</v>
      </c>
      <c r="C34" s="170" t="s">
        <v>949</v>
      </c>
      <c r="D34" s="171"/>
      <c r="E34" s="164" t="s">
        <v>102</v>
      </c>
      <c r="F34" s="168" t="s">
        <v>950</v>
      </c>
    </row>
    <row r="35" spans="1:6" s="169" customFormat="1" ht="26" x14ac:dyDescent="0.2">
      <c r="A35" s="161">
        <v>12</v>
      </c>
      <c r="B35" s="162" t="s">
        <v>951</v>
      </c>
      <c r="C35" s="174" t="s">
        <v>952</v>
      </c>
      <c r="D35" s="171"/>
      <c r="E35" s="163" t="s">
        <v>953</v>
      </c>
      <c r="F35" s="168" t="s">
        <v>954</v>
      </c>
    </row>
    <row r="36" spans="1:6" s="169" customFormat="1" ht="26" x14ac:dyDescent="0.2">
      <c r="A36" s="161">
        <v>13</v>
      </c>
      <c r="B36" s="162" t="s">
        <v>951</v>
      </c>
      <c r="C36" s="170" t="s">
        <v>955</v>
      </c>
      <c r="D36" s="171"/>
      <c r="E36" s="164" t="s">
        <v>102</v>
      </c>
      <c r="F36" s="168" t="s">
        <v>956</v>
      </c>
    </row>
    <row r="37" spans="1:6" s="169" customFormat="1" ht="26" x14ac:dyDescent="0.2">
      <c r="A37" s="161">
        <v>14</v>
      </c>
      <c r="B37" s="162" t="s">
        <v>957</v>
      </c>
      <c r="C37" s="174" t="s">
        <v>958</v>
      </c>
      <c r="D37" s="171"/>
      <c r="E37" s="163" t="s">
        <v>928</v>
      </c>
      <c r="F37" s="168" t="s">
        <v>959</v>
      </c>
    </row>
    <row r="38" spans="1:6" s="169" customFormat="1" ht="26" x14ac:dyDescent="0.2">
      <c r="A38" s="161">
        <v>15</v>
      </c>
      <c r="B38" s="162" t="s">
        <v>960</v>
      </c>
      <c r="C38" s="170" t="s">
        <v>961</v>
      </c>
      <c r="D38" s="171"/>
      <c r="E38" s="166" t="s">
        <v>962</v>
      </c>
      <c r="F38" s="168" t="s">
        <v>963</v>
      </c>
    </row>
  </sheetData>
  <mergeCells count="21">
    <mergeCell ref="C34:D34"/>
    <mergeCell ref="C30:D30"/>
    <mergeCell ref="C24:D24"/>
    <mergeCell ref="C33:D33"/>
    <mergeCell ref="C26:D26"/>
    <mergeCell ref="C36:D36"/>
    <mergeCell ref="C32:D32"/>
    <mergeCell ref="C38:D38"/>
    <mergeCell ref="A1:F1"/>
    <mergeCell ref="C37:D37"/>
    <mergeCell ref="C28:D28"/>
    <mergeCell ref="C35:D35"/>
    <mergeCell ref="A2:F2"/>
    <mergeCell ref="C29:D29"/>
    <mergeCell ref="C25:D25"/>
    <mergeCell ref="C23:E23"/>
    <mergeCell ref="A22:F22"/>
    <mergeCell ref="A4:F4"/>
    <mergeCell ref="C31:D31"/>
    <mergeCell ref="A13:F13"/>
    <mergeCell ref="C27:D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CAREER_DATA</vt:lpstr>
      <vt:lpstr>SCHOOL_DATA</vt:lpstr>
      <vt:lpstr>PROJECTIONS</vt:lpstr>
      <vt:lpstr>CHARTS</vt:lpstr>
      <vt:lpstr>GOALS</vt:lpstr>
      <vt:lpstr>INCOME</vt:lpstr>
      <vt:lpstr>EXPENSES</vt:lpstr>
      <vt:lpstr>DEBT</vt:lpstr>
      <vt:lpstr>ASSETS</vt:lpstr>
      <vt:lpstr>SUMMARY AND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Britt</cp:lastModifiedBy>
  <cp:revision>0</cp:revision>
  <dcterms:created xsi:type="dcterms:W3CDTF">2026-03-25T04:22:29Z</dcterms:created>
  <dcterms:modified xsi:type="dcterms:W3CDTF">2026-07-20T00:55:03Z</dcterms:modified>
  <dc:language>en-US</dc:language>
</cp:coreProperties>
</file>