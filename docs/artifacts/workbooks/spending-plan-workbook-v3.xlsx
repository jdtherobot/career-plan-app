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dtherobot/Documents/GitHub/Career-Plan-app/docs/artifacts/workbooks/"/>
    </mc:Choice>
  </mc:AlternateContent>
  <xr:revisionPtr revIDLastSave="0" documentId="13_ncr:1_{11C9B1AB-DB37-2942-B89A-9E91C5312E1A}" xr6:coauthVersionLast="47" xr6:coauthVersionMax="47" xr10:uidLastSave="{00000000-0000-0000-0000-000000000000}"/>
  <bookViews>
    <workbookView xWindow="37080" yWindow="-28800" windowWidth="27860" windowHeight="28800" tabRatio="500" activeTab="4" xr2:uid="{00000000-000D-0000-FFFF-FFFF00000000}"/>
  </bookViews>
  <sheets>
    <sheet name="ASSUMPTIONS" sheetId="1" r:id="rId1"/>
    <sheet name="PROJECTIONS" sheetId="2" r:id="rId2"/>
    <sheet name="CHARTS" sheetId="3" r:id="rId3"/>
    <sheet name="GOALS" sheetId="4" r:id="rId4"/>
    <sheet name="INCOME" sheetId="5" r:id="rId5"/>
    <sheet name="EXPENSES" sheetId="6" r:id="rId6"/>
    <sheet name="DEBT" sheetId="7" r:id="rId7"/>
    <sheet name="ASSETS" sheetId="8" r:id="rId8"/>
    <sheet name="SUMMARY AND ACTION PLA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" i="9" l="1"/>
  <c r="C3" i="9"/>
  <c r="B3" i="9"/>
  <c r="E37" i="7"/>
  <c r="D37" i="7"/>
  <c r="B40" i="8" s="1"/>
  <c r="E33" i="7"/>
  <c r="D33" i="7"/>
  <c r="F29" i="7"/>
  <c r="E29" i="7"/>
  <c r="D29" i="7"/>
  <c r="C29" i="7"/>
  <c r="F10" i="7"/>
  <c r="E10" i="7"/>
  <c r="E35" i="7" s="1"/>
  <c r="D10" i="7"/>
  <c r="C10" i="7"/>
  <c r="D35" i="7" s="1"/>
  <c r="B8" i="9" s="1"/>
  <c r="E3" i="7"/>
  <c r="C3" i="7"/>
  <c r="D120" i="6"/>
  <c r="C120" i="6"/>
  <c r="B120" i="6"/>
  <c r="D115" i="6"/>
  <c r="C115" i="6"/>
  <c r="B115" i="6"/>
  <c r="D109" i="6"/>
  <c r="C109" i="6"/>
  <c r="B109" i="6"/>
  <c r="D93" i="6"/>
  <c r="C93" i="6"/>
  <c r="B93" i="6"/>
  <c r="D86" i="6"/>
  <c r="C86" i="6"/>
  <c r="B86" i="6"/>
  <c r="D76" i="6"/>
  <c r="C76" i="6"/>
  <c r="B76" i="6"/>
  <c r="D69" i="6"/>
  <c r="C69" i="6"/>
  <c r="B69" i="6"/>
  <c r="D61" i="6"/>
  <c r="C61" i="6"/>
  <c r="B61" i="6"/>
  <c r="D55" i="6"/>
  <c r="C55" i="6"/>
  <c r="B55" i="6"/>
  <c r="D47" i="6"/>
  <c r="C47" i="6"/>
  <c r="B47" i="6"/>
  <c r="D38" i="6"/>
  <c r="C38" i="6"/>
  <c r="B38" i="6"/>
  <c r="D30" i="6"/>
  <c r="C30" i="6"/>
  <c r="B30" i="6"/>
  <c r="D21" i="6"/>
  <c r="D126" i="6" s="1"/>
  <c r="D7" i="9" s="1"/>
  <c r="C21" i="6"/>
  <c r="B21" i="6"/>
  <c r="B126" i="6" s="1"/>
  <c r="D13" i="6"/>
  <c r="C13" i="6"/>
  <c r="B13" i="6"/>
  <c r="D5" i="6"/>
  <c r="C5" i="6"/>
  <c r="B5" i="6"/>
  <c r="D3" i="6"/>
  <c r="C3" i="6"/>
  <c r="B3" i="6"/>
  <c r="C101" i="5"/>
  <c r="D98" i="5"/>
  <c r="D97" i="5"/>
  <c r="D5" i="9" s="1"/>
  <c r="C97" i="5"/>
  <c r="E34" i="7" s="1"/>
  <c r="E36" i="7" s="1"/>
  <c r="B97" i="5"/>
  <c r="B101" i="5" s="1"/>
  <c r="C92" i="5"/>
  <c r="D90" i="5"/>
  <c r="C90" i="5"/>
  <c r="B90" i="5"/>
  <c r="D70" i="5"/>
  <c r="D92" i="5" s="1"/>
  <c r="C70" i="5"/>
  <c r="B70" i="5"/>
  <c r="B92" i="5" s="1"/>
  <c r="D47" i="5"/>
  <c r="D45" i="5"/>
  <c r="C45" i="5"/>
  <c r="B45" i="5"/>
  <c r="B47" i="5" s="1"/>
  <c r="B99" i="5" s="1"/>
  <c r="D24" i="5"/>
  <c r="C24" i="5"/>
  <c r="B24" i="5"/>
  <c r="D42" i="2"/>
  <c r="P41" i="2"/>
  <c r="R35" i="2"/>
  <c r="P35" i="2"/>
  <c r="V35" i="2" s="1"/>
  <c r="N35" i="2"/>
  <c r="M35" i="2"/>
  <c r="I35" i="2"/>
  <c r="G35" i="2"/>
  <c r="E35" i="2"/>
  <c r="D35" i="2"/>
  <c r="U34" i="2"/>
  <c r="R34" i="2"/>
  <c r="P34" i="2"/>
  <c r="V34" i="2" s="1"/>
  <c r="N34" i="2"/>
  <c r="M34" i="2"/>
  <c r="I34" i="2"/>
  <c r="G34" i="2"/>
  <c r="E34" i="2"/>
  <c r="D34" i="2"/>
  <c r="F34" i="2" s="1"/>
  <c r="R33" i="2"/>
  <c r="P33" i="2"/>
  <c r="N33" i="2"/>
  <c r="M33" i="2"/>
  <c r="O33" i="2" s="1"/>
  <c r="I33" i="2"/>
  <c r="G33" i="2"/>
  <c r="V33" i="2" s="1"/>
  <c r="E33" i="2"/>
  <c r="D33" i="2"/>
  <c r="F33" i="2" s="1"/>
  <c r="R32" i="2"/>
  <c r="P32" i="2"/>
  <c r="O32" i="2"/>
  <c r="N32" i="2"/>
  <c r="M32" i="2"/>
  <c r="I32" i="2"/>
  <c r="G32" i="2"/>
  <c r="V32" i="2" s="1"/>
  <c r="E32" i="2"/>
  <c r="D32" i="2"/>
  <c r="R31" i="2"/>
  <c r="P31" i="2"/>
  <c r="V31" i="2" s="1"/>
  <c r="N31" i="2"/>
  <c r="M31" i="2"/>
  <c r="I31" i="2"/>
  <c r="G31" i="2"/>
  <c r="E31" i="2"/>
  <c r="D31" i="2"/>
  <c r="U30" i="2"/>
  <c r="R30" i="2"/>
  <c r="P30" i="2"/>
  <c r="V30" i="2" s="1"/>
  <c r="N30" i="2"/>
  <c r="M30" i="2"/>
  <c r="I30" i="2"/>
  <c r="G30" i="2"/>
  <c r="E30" i="2"/>
  <c r="D30" i="2"/>
  <c r="F30" i="2" s="1"/>
  <c r="R29" i="2"/>
  <c r="P29" i="2"/>
  <c r="N29" i="2"/>
  <c r="M29" i="2"/>
  <c r="O29" i="2" s="1"/>
  <c r="I29" i="2"/>
  <c r="G29" i="2"/>
  <c r="V29" i="2" s="1"/>
  <c r="E29" i="2"/>
  <c r="D29" i="2"/>
  <c r="F29" i="2" s="1"/>
  <c r="R28" i="2"/>
  <c r="P28" i="2"/>
  <c r="O28" i="2"/>
  <c r="N28" i="2"/>
  <c r="M28" i="2"/>
  <c r="I28" i="2"/>
  <c r="G28" i="2"/>
  <c r="V28" i="2" s="1"/>
  <c r="E28" i="2"/>
  <c r="D28" i="2"/>
  <c r="R27" i="2"/>
  <c r="P27" i="2"/>
  <c r="V27" i="2" s="1"/>
  <c r="N27" i="2"/>
  <c r="M27" i="2"/>
  <c r="I27" i="2"/>
  <c r="G27" i="2"/>
  <c r="E27" i="2"/>
  <c r="D27" i="2"/>
  <c r="U26" i="2"/>
  <c r="R26" i="2"/>
  <c r="P26" i="2"/>
  <c r="V26" i="2" s="1"/>
  <c r="N26" i="2"/>
  <c r="M26" i="2"/>
  <c r="I26" i="2"/>
  <c r="G26" i="2"/>
  <c r="E26" i="2"/>
  <c r="D26" i="2"/>
  <c r="F26" i="2" s="1"/>
  <c r="R25" i="2"/>
  <c r="P25" i="2"/>
  <c r="N25" i="2"/>
  <c r="M25" i="2"/>
  <c r="O25" i="2" s="1"/>
  <c r="I25" i="2"/>
  <c r="G25" i="2"/>
  <c r="V25" i="2" s="1"/>
  <c r="E25" i="2"/>
  <c r="D25" i="2"/>
  <c r="F25" i="2" s="1"/>
  <c r="R24" i="2"/>
  <c r="P24" i="2"/>
  <c r="O24" i="2"/>
  <c r="N24" i="2"/>
  <c r="M24" i="2"/>
  <c r="I24" i="2"/>
  <c r="G24" i="2"/>
  <c r="V24" i="2" s="1"/>
  <c r="E24" i="2"/>
  <c r="D24" i="2"/>
  <c r="R23" i="2"/>
  <c r="P23" i="2"/>
  <c r="V23" i="2" s="1"/>
  <c r="N23" i="2"/>
  <c r="M23" i="2"/>
  <c r="I23" i="2"/>
  <c r="G23" i="2"/>
  <c r="E23" i="2"/>
  <c r="D23" i="2"/>
  <c r="U22" i="2"/>
  <c r="R22" i="2"/>
  <c r="P22" i="2"/>
  <c r="V22" i="2" s="1"/>
  <c r="N22" i="2"/>
  <c r="M22" i="2"/>
  <c r="I22" i="2"/>
  <c r="G22" i="2"/>
  <c r="E22" i="2"/>
  <c r="D22" i="2"/>
  <c r="F22" i="2" s="1"/>
  <c r="R21" i="2"/>
  <c r="P21" i="2"/>
  <c r="N21" i="2"/>
  <c r="M21" i="2"/>
  <c r="O21" i="2" s="1"/>
  <c r="I21" i="2"/>
  <c r="G21" i="2"/>
  <c r="V21" i="2" s="1"/>
  <c r="E21" i="2"/>
  <c r="D21" i="2"/>
  <c r="F21" i="2" s="1"/>
  <c r="R20" i="2"/>
  <c r="P20" i="2"/>
  <c r="O20" i="2"/>
  <c r="N20" i="2"/>
  <c r="M20" i="2"/>
  <c r="I20" i="2"/>
  <c r="G20" i="2"/>
  <c r="V20" i="2" s="1"/>
  <c r="E20" i="2"/>
  <c r="D20" i="2"/>
  <c r="R19" i="2"/>
  <c r="P19" i="2"/>
  <c r="V19" i="2" s="1"/>
  <c r="N19" i="2"/>
  <c r="M19" i="2"/>
  <c r="I19" i="2"/>
  <c r="G19" i="2"/>
  <c r="E19" i="2"/>
  <c r="D19" i="2"/>
  <c r="U18" i="2"/>
  <c r="R18" i="2"/>
  <c r="P18" i="2"/>
  <c r="V18" i="2" s="1"/>
  <c r="N18" i="2"/>
  <c r="M18" i="2"/>
  <c r="I18" i="2"/>
  <c r="G18" i="2"/>
  <c r="E18" i="2"/>
  <c r="D18" i="2"/>
  <c r="F18" i="2" s="1"/>
  <c r="R17" i="2"/>
  <c r="P17" i="2"/>
  <c r="N17" i="2"/>
  <c r="M17" i="2"/>
  <c r="O17" i="2" s="1"/>
  <c r="I17" i="2"/>
  <c r="G17" i="2"/>
  <c r="V17" i="2" s="1"/>
  <c r="E17" i="2"/>
  <c r="D17" i="2"/>
  <c r="R16" i="2"/>
  <c r="P16" i="2"/>
  <c r="O16" i="2"/>
  <c r="N16" i="2"/>
  <c r="M16" i="2"/>
  <c r="I16" i="2"/>
  <c r="G16" i="2"/>
  <c r="V16" i="2" s="1"/>
  <c r="E16" i="2"/>
  <c r="D16" i="2"/>
  <c r="R15" i="2"/>
  <c r="P15" i="2"/>
  <c r="V15" i="2" s="1"/>
  <c r="N15" i="2"/>
  <c r="M15" i="2"/>
  <c r="I15" i="2"/>
  <c r="G15" i="2"/>
  <c r="E15" i="2"/>
  <c r="D15" i="2"/>
  <c r="U14" i="2"/>
  <c r="R14" i="2"/>
  <c r="P14" i="2"/>
  <c r="V14" i="2" s="1"/>
  <c r="N14" i="2"/>
  <c r="M14" i="2"/>
  <c r="I14" i="2"/>
  <c r="G14" i="2"/>
  <c r="E14" i="2"/>
  <c r="D14" i="2"/>
  <c r="F14" i="2" s="1"/>
  <c r="R13" i="2"/>
  <c r="P13" i="2"/>
  <c r="N13" i="2"/>
  <c r="M13" i="2"/>
  <c r="O13" i="2" s="1"/>
  <c r="I13" i="2"/>
  <c r="G13" i="2"/>
  <c r="E13" i="2"/>
  <c r="V12" i="2"/>
  <c r="R12" i="2"/>
  <c r="P12" i="2"/>
  <c r="O12" i="2"/>
  <c r="N12" i="2"/>
  <c r="M12" i="2"/>
  <c r="I12" i="2"/>
  <c r="E12" i="2"/>
  <c r="V11" i="2"/>
  <c r="R11" i="2"/>
  <c r="N11" i="2"/>
  <c r="M11" i="2"/>
  <c r="I11" i="2"/>
  <c r="E11" i="2"/>
  <c r="V10" i="2"/>
  <c r="R10" i="2"/>
  <c r="N10" i="2"/>
  <c r="M10" i="2"/>
  <c r="O10" i="2" s="1"/>
  <c r="I10" i="2"/>
  <c r="E10" i="2"/>
  <c r="V9" i="2"/>
  <c r="R9" i="2"/>
  <c r="N9" i="2"/>
  <c r="M9" i="2"/>
  <c r="I9" i="2"/>
  <c r="E9" i="2"/>
  <c r="V8" i="2"/>
  <c r="R8" i="2"/>
  <c r="O8" i="2"/>
  <c r="N8" i="2"/>
  <c r="M8" i="2"/>
  <c r="I8" i="2"/>
  <c r="E8" i="2"/>
  <c r="V7" i="2"/>
  <c r="R7" i="2"/>
  <c r="N7" i="2"/>
  <c r="M7" i="2"/>
  <c r="I7" i="2"/>
  <c r="E7" i="2"/>
  <c r="V6" i="2"/>
  <c r="R6" i="2"/>
  <c r="N6" i="2"/>
  <c r="I6" i="2"/>
  <c r="E6" i="2"/>
  <c r="V5" i="2"/>
  <c r="R5" i="2"/>
  <c r="N5" i="2"/>
  <c r="N39" i="2" s="1"/>
  <c r="I5" i="2"/>
  <c r="E5" i="2"/>
  <c r="E39" i="2" s="1"/>
  <c r="U39" i="2" s="1"/>
  <c r="C73" i="1"/>
  <c r="B73" i="1"/>
  <c r="C72" i="1"/>
  <c r="B72" i="1"/>
  <c r="C71" i="1"/>
  <c r="B71" i="1"/>
  <c r="C70" i="1"/>
  <c r="B70" i="1"/>
  <c r="C65" i="1"/>
  <c r="B65" i="1"/>
  <c r="C57" i="1"/>
  <c r="B57" i="1"/>
  <c r="C18" i="1"/>
  <c r="B18" i="1"/>
  <c r="C17" i="1"/>
  <c r="B17" i="1"/>
  <c r="C16" i="1"/>
  <c r="B16" i="1"/>
  <c r="B30" i="8"/>
  <c r="B23" i="8"/>
  <c r="B5" i="8"/>
  <c r="B37" i="8" s="1"/>
  <c r="B43" i="8" s="1"/>
  <c r="B98" i="5" l="1"/>
  <c r="U21" i="2"/>
  <c r="D10" i="9"/>
  <c r="C10" i="9"/>
  <c r="B7" i="9"/>
  <c r="B85" i="1"/>
  <c r="C85" i="1"/>
  <c r="O15" i="2"/>
  <c r="U33" i="2"/>
  <c r="D99" i="5"/>
  <c r="C126" i="6"/>
  <c r="C7" i="9" s="1"/>
  <c r="C98" i="5"/>
  <c r="C47" i="5"/>
  <c r="C99" i="5" s="1"/>
  <c r="U25" i="2"/>
  <c r="U29" i="2"/>
  <c r="U20" i="2"/>
  <c r="F20" i="2"/>
  <c r="G41" i="2"/>
  <c r="V13" i="2"/>
  <c r="B21" i="1"/>
  <c r="B102" i="5"/>
  <c r="B6" i="9"/>
  <c r="B9" i="9" s="1"/>
  <c r="F17" i="2"/>
  <c r="U17" i="2"/>
  <c r="V41" i="2"/>
  <c r="U16" i="2"/>
  <c r="F16" i="2"/>
  <c r="C21" i="1"/>
  <c r="O9" i="2"/>
  <c r="O19" i="2"/>
  <c r="D8" i="9"/>
  <c r="C8" i="9"/>
  <c r="D101" i="5"/>
  <c r="O23" i="2"/>
  <c r="O27" i="2"/>
  <c r="F24" i="2"/>
  <c r="F28" i="2"/>
  <c r="F32" i="2"/>
  <c r="O31" i="2"/>
  <c r="O14" i="2"/>
  <c r="O18" i="2"/>
  <c r="O22" i="2"/>
  <c r="U24" i="2"/>
  <c r="O26" i="2"/>
  <c r="U28" i="2"/>
  <c r="O30" i="2"/>
  <c r="U32" i="2"/>
  <c r="O34" i="2"/>
  <c r="O35" i="2"/>
  <c r="O11" i="2"/>
  <c r="F15" i="2"/>
  <c r="F19" i="2"/>
  <c r="F23" i="2"/>
  <c r="F27" i="2"/>
  <c r="F31" i="2"/>
  <c r="F35" i="2"/>
  <c r="B5" i="9"/>
  <c r="D34" i="7"/>
  <c r="D36" i="7" s="1"/>
  <c r="B10" i="9" s="1"/>
  <c r="C5" i="9"/>
  <c r="U15" i="2"/>
  <c r="U19" i="2"/>
  <c r="U23" i="2"/>
  <c r="U27" i="2"/>
  <c r="U31" i="2"/>
  <c r="U35" i="2"/>
  <c r="C20" i="1"/>
  <c r="B20" i="1"/>
  <c r="J23" i="2" l="1"/>
  <c r="J19" i="2"/>
  <c r="S14" i="2"/>
  <c r="S23" i="2"/>
  <c r="S26" i="2"/>
  <c r="J16" i="2"/>
  <c r="D6" i="9"/>
  <c r="D9" i="9" s="1"/>
  <c r="D102" i="5"/>
  <c r="D13" i="2"/>
  <c r="D8" i="2"/>
  <c r="D11" i="2"/>
  <c r="D5" i="2"/>
  <c r="D6" i="2"/>
  <c r="M5" i="2"/>
  <c r="D12" i="2"/>
  <c r="D9" i="2"/>
  <c r="M6" i="2"/>
  <c r="D7" i="2"/>
  <c r="D10" i="2"/>
  <c r="Q33" i="2"/>
  <c r="S33" i="2" s="1"/>
  <c r="Q29" i="2"/>
  <c r="S29" i="2" s="1"/>
  <c r="Q25" i="2"/>
  <c r="S25" i="2" s="1"/>
  <c r="Q21" i="2"/>
  <c r="S21" i="2" s="1"/>
  <c r="Q17" i="2"/>
  <c r="S17" i="2" s="1"/>
  <c r="Q13" i="2"/>
  <c r="S13" i="2" s="1"/>
  <c r="H11" i="2"/>
  <c r="Q10" i="2"/>
  <c r="S10" i="2" s="1"/>
  <c r="Q34" i="2"/>
  <c r="S34" i="2" s="1"/>
  <c r="Q30" i="2"/>
  <c r="S30" i="2" s="1"/>
  <c r="Q18" i="2"/>
  <c r="S18" i="2" s="1"/>
  <c r="Q14" i="2"/>
  <c r="H7" i="2"/>
  <c r="Q6" i="2"/>
  <c r="H17" i="2"/>
  <c r="J17" i="2" s="1"/>
  <c r="W17" i="2" s="1"/>
  <c r="H13" i="2"/>
  <c r="Q32" i="2"/>
  <c r="S32" i="2" s="1"/>
  <c r="Q24" i="2"/>
  <c r="S24" i="2" s="1"/>
  <c r="Q26" i="2"/>
  <c r="Q22" i="2"/>
  <c r="S22" i="2" s="1"/>
  <c r="H35" i="2"/>
  <c r="J35" i="2" s="1"/>
  <c r="W35" i="2" s="1"/>
  <c r="H31" i="2"/>
  <c r="J31" i="2" s="1"/>
  <c r="H27" i="2"/>
  <c r="J27" i="2" s="1"/>
  <c r="W27" i="2" s="1"/>
  <c r="H23" i="2"/>
  <c r="H19" i="2"/>
  <c r="H15" i="2"/>
  <c r="J15" i="2" s="1"/>
  <c r="W15" i="2" s="1"/>
  <c r="H9" i="2"/>
  <c r="Q8" i="2"/>
  <c r="S8" i="2" s="1"/>
  <c r="H25" i="2"/>
  <c r="J25" i="2" s="1"/>
  <c r="W25" i="2" s="1"/>
  <c r="H32" i="2"/>
  <c r="J32" i="2" s="1"/>
  <c r="W32" i="2" s="1"/>
  <c r="H28" i="2"/>
  <c r="J28" i="2" s="1"/>
  <c r="H24" i="2"/>
  <c r="J24" i="2" s="1"/>
  <c r="H20" i="2"/>
  <c r="J20" i="2" s="1"/>
  <c r="H16" i="2"/>
  <c r="H12" i="2"/>
  <c r="Q11" i="2"/>
  <c r="S11" i="2" s="1"/>
  <c r="H5" i="2"/>
  <c r="Q31" i="2"/>
  <c r="S31" i="2" s="1"/>
  <c r="Q19" i="2"/>
  <c r="S19" i="2" s="1"/>
  <c r="Q15" i="2"/>
  <c r="S15" i="2" s="1"/>
  <c r="H21" i="2"/>
  <c r="J21" i="2" s="1"/>
  <c r="W21" i="2" s="1"/>
  <c r="Q28" i="2"/>
  <c r="S28" i="2" s="1"/>
  <c r="Q35" i="2"/>
  <c r="S35" i="2" s="1"/>
  <c r="Q27" i="2"/>
  <c r="S27" i="2" s="1"/>
  <c r="Q23" i="2"/>
  <c r="H10" i="2"/>
  <c r="Q9" i="2"/>
  <c r="S9" i="2" s="1"/>
  <c r="H33" i="2"/>
  <c r="J33" i="2" s="1"/>
  <c r="H29" i="2"/>
  <c r="J29" i="2" s="1"/>
  <c r="H6" i="2"/>
  <c r="Q5" i="2"/>
  <c r="Q20" i="2"/>
  <c r="S20" i="2" s="1"/>
  <c r="H8" i="2"/>
  <c r="H34" i="2"/>
  <c r="J34" i="2" s="1"/>
  <c r="W34" i="2" s="1"/>
  <c r="H30" i="2"/>
  <c r="J30" i="2" s="1"/>
  <c r="H14" i="2"/>
  <c r="J14" i="2" s="1"/>
  <c r="H18" i="2"/>
  <c r="J18" i="2" s="1"/>
  <c r="W18" i="2" s="1"/>
  <c r="H22" i="2"/>
  <c r="J22" i="2" s="1"/>
  <c r="Q7" i="2"/>
  <c r="S7" i="2" s="1"/>
  <c r="Q16" i="2"/>
  <c r="S16" i="2" s="1"/>
  <c r="H26" i="2"/>
  <c r="J26" i="2" s="1"/>
  <c r="Q12" i="2"/>
  <c r="S12" i="2" s="1"/>
  <c r="C6" i="9"/>
  <c r="C9" i="9" s="1"/>
  <c r="C102" i="5"/>
  <c r="W31" i="2" l="1"/>
  <c r="W29" i="2"/>
  <c r="F6" i="2"/>
  <c r="J6" i="2" s="1"/>
  <c r="U6" i="2"/>
  <c r="W16" i="2"/>
  <c r="W23" i="2"/>
  <c r="U11" i="2"/>
  <c r="F11" i="2"/>
  <c r="J11" i="2"/>
  <c r="W11" i="2" s="1"/>
  <c r="W26" i="2"/>
  <c r="J7" i="2"/>
  <c r="W7" i="2" s="1"/>
  <c r="F7" i="2"/>
  <c r="U7" i="2"/>
  <c r="U8" i="2"/>
  <c r="F8" i="2"/>
  <c r="J8" i="2" s="1"/>
  <c r="W8" i="2" s="1"/>
  <c r="U13" i="2"/>
  <c r="F13" i="2"/>
  <c r="J13" i="2" s="1"/>
  <c r="W13" i="2" s="1"/>
  <c r="U10" i="2"/>
  <c r="F10" i="2"/>
  <c r="J10" i="2" s="1"/>
  <c r="W10" i="2" s="1"/>
  <c r="W22" i="2"/>
  <c r="O6" i="2"/>
  <c r="S6" i="2" s="1"/>
  <c r="W20" i="2"/>
  <c r="F9" i="2"/>
  <c r="J9" i="2" s="1"/>
  <c r="W9" i="2" s="1"/>
  <c r="U9" i="2"/>
  <c r="W14" i="2"/>
  <c r="W24" i="2"/>
  <c r="U12" i="2"/>
  <c r="F12" i="2"/>
  <c r="J12" i="2" s="1"/>
  <c r="W12" i="2" s="1"/>
  <c r="J5" i="2"/>
  <c r="D38" i="2"/>
  <c r="U5" i="2"/>
  <c r="F5" i="2"/>
  <c r="W19" i="2"/>
  <c r="W33" i="2"/>
  <c r="W30" i="2"/>
  <c r="W28" i="2"/>
  <c r="M38" i="2"/>
  <c r="O5" i="2"/>
  <c r="O40" i="2" s="1"/>
  <c r="W6" i="2" l="1"/>
  <c r="S5" i="2"/>
  <c r="T5" i="2" s="1"/>
  <c r="T6" i="2" s="1"/>
  <c r="T7" i="2" s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43" i="2" s="1"/>
  <c r="K5" i="2"/>
  <c r="F40" i="2"/>
  <c r="U40" i="2" s="1"/>
  <c r="U38" i="2"/>
  <c r="X5" i="2" l="1"/>
  <c r="K6" i="2"/>
  <c r="W5" i="2"/>
  <c r="Y5" i="2" s="1"/>
  <c r="Y45" i="2" l="1"/>
  <c r="Y6" i="2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44" i="2" s="1"/>
  <c r="K7" i="2"/>
  <c r="X6" i="2"/>
  <c r="X7" i="2" l="1"/>
  <c r="K8" i="2"/>
  <c r="X8" i="2" l="1"/>
  <c r="K9" i="2"/>
  <c r="X9" i="2" l="1"/>
  <c r="K10" i="2"/>
  <c r="X10" i="2" l="1"/>
  <c r="K11" i="2"/>
  <c r="K12" i="2" l="1"/>
  <c r="X11" i="2"/>
  <c r="X12" i="2" l="1"/>
  <c r="K13" i="2"/>
  <c r="K14" i="2" l="1"/>
  <c r="X13" i="2"/>
  <c r="X14" i="2" l="1"/>
  <c r="K15" i="2"/>
  <c r="K16" i="2" l="1"/>
  <c r="X15" i="2"/>
  <c r="X16" i="2" l="1"/>
  <c r="K17" i="2"/>
  <c r="K18" i="2" l="1"/>
  <c r="X17" i="2"/>
  <c r="X18" i="2" l="1"/>
  <c r="K19" i="2"/>
  <c r="K20" i="2" l="1"/>
  <c r="X19" i="2"/>
  <c r="X20" i="2" l="1"/>
  <c r="K21" i="2"/>
  <c r="X21" i="2" l="1"/>
  <c r="K22" i="2"/>
  <c r="X22" i="2" l="1"/>
  <c r="K23" i="2"/>
  <c r="K24" i="2" l="1"/>
  <c r="X23" i="2"/>
  <c r="X24" i="2" l="1"/>
  <c r="K25" i="2"/>
  <c r="X25" i="2" l="1"/>
  <c r="K26" i="2"/>
  <c r="X26" i="2" l="1"/>
  <c r="K27" i="2"/>
  <c r="K28" i="2" l="1"/>
  <c r="X27" i="2"/>
  <c r="X28" i="2" l="1"/>
  <c r="K29" i="2"/>
  <c r="K30" i="2" l="1"/>
  <c r="X29" i="2"/>
  <c r="X30" i="2" l="1"/>
  <c r="K31" i="2"/>
  <c r="K32" i="2" l="1"/>
  <c r="X31" i="2"/>
  <c r="X32" i="2" l="1"/>
  <c r="K33" i="2"/>
  <c r="X33" i="2" l="1"/>
  <c r="K34" i="2"/>
  <c r="X34" i="2" l="1"/>
  <c r="K35" i="2"/>
  <c r="X43" i="2" l="1"/>
  <c r="K43" i="2"/>
  <c r="X35" i="2"/>
</calcChain>
</file>

<file path=xl/sharedStrings.xml><?xml version="1.0" encoding="utf-8"?>
<sst xmlns="http://schemas.openxmlformats.org/spreadsheetml/2006/main" count="657" uniqueCount="470">
  <si>
    <t>LONG-TERM FINANCIAL PROJECTION ASSUMPTIONS</t>
  </si>
  <si>
    <t>All values below drive the PROJECTIONS sheet. Blue cells with yellow background are editable inputs.</t>
  </si>
  <si>
    <t>Assumption</t>
  </si>
  <si>
    <t>Path A (Stay)</t>
  </si>
  <si>
    <t>Path B (Separate)</t>
  </si>
  <si>
    <t>Source / Notes</t>
  </si>
  <si>
    <t>SERVICE &amp; TIMELINE</t>
  </si>
  <si>
    <t>TAFMS Date (entered service)</t>
  </si>
  <si>
    <t>Feb 2014</t>
  </si>
  <si>
    <t>Resume / service records</t>
  </si>
  <si>
    <t>Current Date (base year)</t>
  </si>
  <si>
    <t>Projection start year</t>
  </si>
  <si>
    <t>Years of Service at Projection Start</t>
  </si>
  <si>
    <t>2026 minus 2014</t>
  </si>
  <si>
    <t>Separation Date</t>
  </si>
  <si>
    <t>N/A (stays in)</t>
  </si>
  <si>
    <t>Nov 2027</t>
  </si>
  <si>
    <t>Roadmap: Nov 2027 if CNODP rejected</t>
  </si>
  <si>
    <t>Years Until Separation</t>
  </si>
  <si>
    <t>N/A</t>
  </si>
  <si>
    <t>From Mar 2026 to Nov 2027</t>
  </si>
  <si>
    <t>Military Retirement Year (20 yrs)</t>
  </si>
  <si>
    <t>Feb 2014 + 20 yrs = Feb 2034. Projection year 2034 unchanged — no formula impact.</t>
  </si>
  <si>
    <t>Years Until Retirement</t>
  </si>
  <si>
    <t>Mar 2026 to Feb 2034 = 7 yr 11 mo ≈ 8 yrs. Year-based projection logic unaffected.</t>
  </si>
  <si>
    <t>CURRENT MILITARY COMPENSATION (MONTHLY)</t>
  </si>
  <si>
    <t>Base Pay (Monthly)</t>
  </si>
  <si>
    <t>From INCOME sheet</t>
  </si>
  <si>
    <t>BAH (Housing Allowance)</t>
  </si>
  <si>
    <t>From INCOME sheet — tax-free</t>
  </si>
  <si>
    <t>BAS (Food Allowance)</t>
  </si>
  <si>
    <t>2025 BAS: $465.77/mo (From INCOME sheet, user has $477)</t>
  </si>
  <si>
    <t>Current Monthly TSP Contribution</t>
  </si>
  <si>
    <t>2025 limit: $23,500/yr ($1,958/mo). Catch-up 50+: add $7,500. Source: tsp.gov</t>
  </si>
  <si>
    <t>Gross Monthly Income (Current)</t>
  </si>
  <si>
    <t>Net Monthly Income (Current)</t>
  </si>
  <si>
    <t>MILITARY RETIREMENT &amp; PENSION</t>
  </si>
  <si>
    <t>Retirement System</t>
  </si>
  <si>
    <t>High-3</t>
  </si>
  <si>
    <t>Pre-2018 entry → High-3 (not BRS)</t>
  </si>
  <si>
    <t>High-3 Average Base Pay (est. at retirement)</t>
  </si>
  <si>
    <t>Est. E-8 avg of highest 36 mo base pay at 20 yrs (2024 tables + ~2.5%/yr raises)</t>
  </si>
  <si>
    <t>Pension Multiplier (2.5% × years)</t>
  </si>
  <si>
    <t>2.5% × 20 years = 50%</t>
  </si>
  <si>
    <t>Monthly Pension (before tax)</t>
  </si>
  <si>
    <t>High3 x multiplier. $7,266 x 50%</t>
  </si>
  <si>
    <t>Annual Pension (before tax)</t>
  </si>
  <si>
    <t>Monthly × 12</t>
  </si>
  <si>
    <t>Pension COLA (annual increase)</t>
  </si>
  <si>
    <t>2026 COLA: 2.8% (CPI-W based). Long-term avg ~2.5%. Source: militarypay.defense.gov</t>
  </si>
  <si>
    <t>Pension Start Age</t>
  </si>
  <si>
    <t>Retire at ~40 (entered at ~20, retire at 20 yrs)</t>
  </si>
  <si>
    <t>Life Expectancy (for pension valuation)</t>
  </si>
  <si>
    <t>US male average ~76, military retirees tend higher</t>
  </si>
  <si>
    <t>[QUESTION] Life expectancy 82 used for pension valuation. Extend to 40 years for more conservative military retiree estimate.</t>
  </si>
  <si>
    <t>HEALTHCARE COSTS (ANNUAL)</t>
  </si>
  <si>
    <t>Active Duty Healthcare Cost</t>
  </si>
  <si>
    <t>TRICARE Active Duty: $0 premiums</t>
  </si>
  <si>
    <t>TRICARE Retiree Annual Cost</t>
  </si>
  <si>
    <t>TRICARE Select Group A retiree: $181.92/yr individual (2025). Source: tricare.mil</t>
  </si>
  <si>
    <t>[QUESTION] TRICARE rate uses 3%/yr inflation. Verify current TRICARE retiree premium — may be adjusted by Congress differently than CPI.</t>
  </si>
  <si>
    <t>Civilian Health Insurance (annual)</t>
  </si>
  <si>
    <t>Employer-sponsored employee share: ~$1,303/yr (2025 KFF). +copays/deductibles ~$3,000 total OOP. Source: KFF</t>
  </si>
  <si>
    <t>[CONCERN] Model gap: healthcare costs for Path A PhD phase (2035-2039) and gap year not separately itemized — review actual school-location costs</t>
  </si>
  <si>
    <t>Civilian Healthcare Inflation</t>
  </si>
  <si>
    <t>2026 Covered CA: 10.3% increase. Historical ~8%/yr. Source: CHCF/Covered California</t>
  </si>
  <si>
    <t>TRICARE Retiree Annual Increase</t>
  </si>
  <si>
    <t>TRICARE adjustments ~3%/yr</t>
  </si>
  <si>
    <t>Lifetime Healthcare Savings (Path A vs B)</t>
  </si>
  <si>
    <t>See PROJECTIONS</t>
  </si>
  <si>
    <t>Major advantage of military retirement</t>
  </si>
  <si>
    <t>VA DISABILITY &amp; BENEFITS</t>
  </si>
  <si>
    <t>Assumed VA Disability Rating</t>
  </si>
  <si>
    <t>30% — conservative estimate, common for 12+ yr service</t>
  </si>
  <si>
    <t>[GAP] VA disability rating assumed at 30%. Actual rating unknown until filed. 10% = $171/mo, 50% = $1,075/mo — significant range.</t>
  </si>
  <si>
    <t>VA Disability Monthly Payment</t>
  </si>
  <si>
    <t>30% single no dep: $537.42 (2025) + 2.8% COLA = $552.47 (2026). Source: va.gov</t>
  </si>
  <si>
    <t>VA Disability COLA (annual)</t>
  </si>
  <si>
    <t>2026 COLA: 2.8%. 5yr avg ~3.4% (includes 8.7% spike). Long-term avg ~2.5%. Source: va.gov</t>
  </si>
  <si>
    <t>VA Disability Tax Status</t>
  </si>
  <si>
    <t>Tax-free</t>
  </si>
  <si>
    <t>100% tax-exempt at all disability ratings</t>
  </si>
  <si>
    <t>VA Disability Start (Path A)</t>
  </si>
  <si>
    <t>At retirement (2034)</t>
  </si>
  <si>
    <t>At separation (2027)</t>
  </si>
  <si>
    <t>Claims typically filed at transition</t>
  </si>
  <si>
    <t>VA Home Loan Benefit</t>
  </si>
  <si>
    <t>Available</t>
  </si>
  <si>
    <t>No down payment, no PMI — both paths eligible</t>
  </si>
  <si>
    <t>POST-9/11 GI BILL</t>
  </si>
  <si>
    <t>GI Bill Eligibility</t>
  </si>
  <si>
    <t>36 months</t>
  </si>
  <si>
    <t>Forever GI Bill — no expiration deadline</t>
  </si>
  <si>
    <t>GI Bill Tuition Coverage</t>
  </si>
  <si>
    <t>100%</t>
  </si>
  <si>
    <t>Covers full in-state; Yellow Ribbon for private (Stanford, MIT, CMU)</t>
  </si>
  <si>
    <t>GI Bill Monthly Housing Allowance</t>
  </si>
  <si>
    <t>Bay Area (94305): $4,992/mo. MIT (02139): ~$3,513. CMU (15213): ~$1,400. Source: va.gov BAH calc</t>
  </si>
  <si>
    <t>[CONCERN] Model gap: GI Bill BAH rate hardcoded to Bay Area ($4,992). CMU = $1,400/mo — a $43K/yr difference. Update when admitted school is known.</t>
  </si>
  <si>
    <t>GI Bill Book Stipend (annual)</t>
  </si>
  <si>
    <t>$1,000/year for books and supplies</t>
  </si>
  <si>
    <t>GI Bill Stacks with PhD Stipend?</t>
  </si>
  <si>
    <t>YES</t>
  </si>
  <si>
    <t>Universities do NOT reduce stipend for GI Bill recipients</t>
  </si>
  <si>
    <t>Total GI Bill Value (est. 36 mo, Bay Area)</t>
  </si>
  <si>
    <t>36mo BAH: ~$180K (Bay Area). Tuition: $90K+ (Yellow Ribbon). Books: $3K. Total ~$275K. Sources: va.gov, university sites</t>
  </si>
  <si>
    <t>GI Bill Usage Timing (Path A)</t>
  </si>
  <si>
    <t>After retirement + PhD</t>
  </si>
  <si>
    <t>During PhD (2028-2031)</t>
  </si>
  <si>
    <t>Path A delays GI Bill use; Path B uses immediately</t>
  </si>
  <si>
    <t>Gap Year Income (Path B pre-PhD, Nov27-Aug28)</t>
  </si>
  <si>
    <t>Gap year: VA disability only (~9 months). No stipend, no GI Bill BAH until Fall 2028 enrollment. ~$4,972 total income.</t>
  </si>
  <si>
    <t>PhD &amp; CAREER PROJECTIONS</t>
  </si>
  <si>
    <t>PhD Start Year</t>
  </si>
  <si>
    <t>Path A: after retirement. Path B: Fall 2028</t>
  </si>
  <si>
    <t>[GAP] Path B PhD start modeled as 2028. Gap year (Nov27-Aug28) income corrected to VA disability only in PROJECTIONS row 7.</t>
  </si>
  <si>
    <t>PhD Duration (years)</t>
  </si>
  <si>
    <t>Standard CS/ML PhD: 4-6 years</t>
  </si>
  <si>
    <t>PhD Stipend (monthly)</t>
  </si>
  <si>
    <t>Avg of targets: Stanford $57K, MIT $51.2K, CMU $42.9K, Berkeley $44K, GT $40.8K → ~$47K/yr. Sources: university sites</t>
  </si>
  <si>
    <t>PhD Stipend (annual)</t>
  </si>
  <si>
    <t>Weighted avg of 8 target programs. Range: $40.8K (GT) to $57K (Stanford)</t>
  </si>
  <si>
    <t>[CONCERN] Gap year 2028 now uses VA disability only ($552/mo * 12). PROJECTIONS row 7 updated accordingly. Verify enrollment start month.</t>
  </si>
  <si>
    <t>GI Bill BAH During PhD (monthly)</t>
  </si>
  <si>
    <t>Stacks with stipend — Bay Area rate</t>
  </si>
  <si>
    <t>Post-PhD Research Scientist Salary (starting)</t>
  </si>
  <si>
    <t>Conservative est. Range: Intel Labs ~$200K, Anthropic ~$442K med, OpenAI $763K+. $220K is modest. Sources: levels.fyi</t>
  </si>
  <si>
    <t>[CONCERN] Salary benchmark $220K is conservative. DeepMind avg $264K, Anthropic median $442K. Model understates Path B potential.</t>
  </si>
  <si>
    <t>CS Job Salary (no PhD)</t>
  </si>
  <si>
    <t>User's est: ~$117K/yr. Research: career changer $80-130K start, $150-220K in 2-3 yrs. Source: levels.fyi</t>
  </si>
  <si>
    <t>Salary Growth Rate (civilian)</t>
  </si>
  <si>
    <t>Tech median: 3.3-3.7%. AI/ML roles: 4-5%+. Using 4% conservative. Source: Dice 2025 salary report</t>
  </si>
  <si>
    <t>Military Pay Raise (annual)</t>
  </si>
  <si>
    <t>Historical avg ~2-3% annual military pay raise</t>
  </si>
  <si>
    <t>[NOTE] Warrant Officer path not modeled. WO1-CW5 pay scale differs from E-7. Add as scenario if this path becomes active consideration.</t>
  </si>
  <si>
    <t>INVESTMENT &amp; SAVINGS</t>
  </si>
  <si>
    <t>Current TSP Balance</t>
  </si>
  <si>
    <t>From ASSETS sheet</t>
  </si>
  <si>
    <t>Current Roth IRA Balance</t>
  </si>
  <si>
    <t>Current Brokerage Balance</t>
  </si>
  <si>
    <t>Current Cash/Checking/Savings</t>
  </si>
  <si>
    <t>From ASSETS sheet (checking + savings)</t>
  </si>
  <si>
    <t>Investment Return Rate (nominal)</t>
  </si>
  <si>
    <t>Historical S&amp;P: 10.4%. Vanguard 10yr forecast: 3.5-5.5%. Using 7% as moderate. Sources: Vanguard, MacroTrends</t>
  </si>
  <si>
    <t>Monthly Retirement Savings (Active Duty)</t>
  </si>
  <si>
    <t>Current TSP Roth contribution per ASSETS note</t>
  </si>
  <si>
    <t>[QUESTION] Monthly retirement savings during active duty: $1,900/mo. Verify this matches current TSP + Roth IRA actual contributions.</t>
  </si>
  <si>
    <t>Monthly Retirement Savings (Civilian)</t>
  </si>
  <si>
    <t>Estimated 401k/IRA contribution during civilian career</t>
  </si>
  <si>
    <t>Monthly Retirement Savings (PhD)</t>
  </si>
  <si>
    <t>Likely zero savings capacity during PhD</t>
  </si>
  <si>
    <t>[QUESTION] Assumes $0 savings during PhD. Some programs allow small Roth IRA contributions from stipend — revisit if stipend &gt; ~$14K/yr.</t>
  </si>
  <si>
    <t>GENERAL ASSUMPTIONS</t>
  </si>
  <si>
    <t>Inflation Rate</t>
  </si>
  <si>
    <t>Feb 2026 CPI: 2.4%. 2025 avg: 2.6%. Long-term avg: ~3%. Using 2.8%. Source: BLS</t>
  </si>
  <si>
    <t>Effective Tax Rate (Military)</t>
  </si>
  <si>
    <t>~12% effective federal rate on taxable portion (BAH/BAS exempt). Source: IRS 2026 brackets</t>
  </si>
  <si>
    <t>Effective Tax Rate (Civilian, pre-PhD)</t>
  </si>
  <si>
    <t>Federal ~22% bracket for $80-120K</t>
  </si>
  <si>
    <t>Effective Tax Rate (Post-PhD, high income)</t>
  </si>
  <si>
    <t>Federal effective ~18% at $200K, ~22% at $300K. Using 24% marginal bracket. Source: IRS/Tax Foundation</t>
  </si>
  <si>
    <t>State Tax Rate (California)</t>
  </si>
  <si>
    <t>CA effective: ~4-6% at $45K, 7-9% at $120K, 10-11% at $200K. Using 7% avg. Source: NerdWallet/FTB</t>
  </si>
  <si>
    <t>Monthly Living Expenses (from workbook)</t>
  </si>
  <si>
    <t>From EXPENSES sheet grand total</t>
  </si>
  <si>
    <t>Living Expense Growth Rate</t>
  </si>
  <si>
    <t>Bay Area CPI: 2.5%. Food inflation: 4.8%. Blended ~3%. Source: BLS SF CPI</t>
  </si>
  <si>
    <t>30-YEAR FINANCIAL PROJECTION: PATH A (STAY &amp; RETIRE) vs PATH B (SEPARATE &amp; PHD)</t>
  </si>
  <si>
    <t>All projections driven by ASSUMPTIONS sheet. Pension, VA disability, and GI Bill values are tax-free income.</t>
  </si>
  <si>
    <t>PATH A: Stay → Retire 2034 → PhD → Research Scientist</t>
  </si>
  <si>
    <t>PATH B: Separate Nov 2027 → PhD 2028 → Research Scientist</t>
  </si>
  <si>
    <t>COMPARISON (Path A Advantage)</t>
  </si>
  <si>
    <t>Yr #</t>
  </si>
  <si>
    <t>Year</t>
  </si>
  <si>
    <t>Status</t>
  </si>
  <si>
    <t>Gross Income</t>
  </si>
  <si>
    <t>Tax-Free Income</t>
  </si>
  <si>
    <t>Taxes</t>
  </si>
  <si>
    <t>Healthcare</t>
  </si>
  <si>
    <t>Living Expenses</t>
  </si>
  <si>
    <t>Ret. Savings</t>
  </si>
  <si>
    <t>Net Cash Flow</t>
  </si>
  <si>
    <t>Portfolio</t>
  </si>
  <si>
    <t>Income Diff</t>
  </si>
  <si>
    <t>HC Savings</t>
  </si>
  <si>
    <t>CF Diff</t>
  </si>
  <si>
    <t>Portfolio Diff</t>
  </si>
  <si>
    <t>Cumul. Adv.</t>
  </si>
  <si>
    <t>Active Duty</t>
  </si>
  <si>
    <t>Gap Year</t>
  </si>
  <si>
    <t>0</t>
  </si>
  <si>
    <t>PhD Student</t>
  </si>
  <si>
    <t>Research Scientist</t>
  </si>
  <si>
    <t>Retirement Year</t>
  </si>
  <si>
    <t>Retired + PhD</t>
  </si>
  <si>
    <t>Retired + Res. Scientist</t>
  </si>
  <si>
    <t>30-YEAR TOTALS &amp; KEY METRICS</t>
  </si>
  <si>
    <t>Total Gross Income</t>
  </si>
  <si>
    <t>Total Tax-Free Income</t>
  </si>
  <si>
    <t>Total Taxes Paid</t>
  </si>
  <si>
    <t>Total Healthcare Costs</t>
  </si>
  <si>
    <t>Lifetime Pension Value (A only)</t>
  </si>
  <si>
    <t>Final Portfolio Value (Year 30)</t>
  </si>
  <si>
    <t>Cumul. Cash Flow Advantage (A)</t>
  </si>
  <si>
    <t>Breakeven Year (B overtakes A)</t>
  </si>
  <si>
    <t>CHART 1 — Investment Portfolio Growth (Path A vs Path B)</t>
  </si>
  <si>
    <t>Shows total invested assets accumulating over 30 yrs. Both paths start from same base (~$204K). Path A is green, Path B is orange. Path A ends ~$453K higher due to pension supplementing investments.</t>
  </si>
  <si>
    <t>CHART 2 — Annual Net Cash Flow (Path A vs Path B)</t>
  </si>
  <si>
    <t>How much money is left each year after taxes, healthcare, expenses, and savings contributions. The dip in Path A around 2035-2039 is the PhD years — pension + stipend is tight but survivable.</t>
  </si>
  <si>
    <t>CHART 3 — Cumulative Cash Flow Advantage (SINGLE series by design)</t>
  </si>
  <si>
    <t>This chart shows Path A's RUNNING LEAD over Path B in total cash flow. Positive = Path A is cumulatively ahead. Negative = Path B has overtaken Path A. It uses ONE line (the DIFFERENCE) so you can instantly see when the crossover happens (~2038). It is NOT a bug that only one line appears — this is a delta chart, not a comparison chart.</t>
  </si>
  <si>
    <t>CHART 4 — Annual Healthcare Costs (TRICARE vs Civilian)</t>
  </si>
  <si>
    <t>TRICARE retiree costs ~$182/yr and grows slowly. Civilian insurance starts ~$3,000/yr and grows 8%/yr. The gap widens dramatically over time — 30-year total difference exceeds $200K.</t>
  </si>
  <si>
    <t>CHART 5 — Income Breakdown: Gross vs Tax-Free for Both Paths</t>
  </si>
  <si>
    <t>Path A Gross + Tax-Free lines vs Path B Gross + Tax-Free. Note how tax-free income (BAH, VA disability, GI Bill) is a major advantage for Path A especially during active duty.</t>
  </si>
  <si>
    <t xml:space="preserve">Name: </t>
  </si>
  <si>
    <t>FINANCIAL GOALS</t>
  </si>
  <si>
    <t>Short-Term Goals: less than 2 years</t>
  </si>
  <si>
    <t>Medium-Term Goals: between 2-5 years</t>
  </si>
  <si>
    <t>Long-Term Goals: over 5 years</t>
  </si>
  <si>
    <t>INCOME</t>
  </si>
  <si>
    <t>City or Zip Code</t>
  </si>
  <si>
    <t>CURRENT LOCATION</t>
  </si>
  <si>
    <t>POTENTIAL LOCATION</t>
  </si>
  <si>
    <t>SERVICE MEMBER MONTHLY INCOME</t>
  </si>
  <si>
    <t>ENTITLEMENTS</t>
  </si>
  <si>
    <t>CURRENT</t>
  </si>
  <si>
    <t>PROJECTED - Computer Science Job</t>
  </si>
  <si>
    <t>PROJECTED - Grad School</t>
  </si>
  <si>
    <t>Monthly Base Pay</t>
  </si>
  <si>
    <t>BAH (Housing)</t>
  </si>
  <si>
    <t>BAS</t>
  </si>
  <si>
    <t>OHA</t>
  </si>
  <si>
    <t>COLA</t>
  </si>
  <si>
    <t>Special Pay</t>
  </si>
  <si>
    <t>Hazard Duty Pay</t>
  </si>
  <si>
    <t>Flight Duty Pay</t>
  </si>
  <si>
    <t>Foreign Language Pay</t>
  </si>
  <si>
    <t>Family Separation Allowance</t>
  </si>
  <si>
    <t>Other Take Home Pay</t>
  </si>
  <si>
    <t>Military Retirement Pay</t>
  </si>
  <si>
    <t>Rental Home Income</t>
  </si>
  <si>
    <t>VA Benefits</t>
  </si>
  <si>
    <t>Child Support/Alimony</t>
  </si>
  <si>
    <t>GROSS MONTHLY INCOME</t>
  </si>
  <si>
    <t>DEDUCTIONS</t>
  </si>
  <si>
    <t>FITW (Federal Income Tax Withheld)</t>
  </si>
  <si>
    <t>FICA (Social Security)</t>
  </si>
  <si>
    <t>FICA (Medicare)</t>
  </si>
  <si>
    <t>State Income Tax</t>
  </si>
  <si>
    <t>AFRH (Armed Forces Retirement Home)</t>
  </si>
  <si>
    <t>SGLI and T-SGLI</t>
  </si>
  <si>
    <t>SGLI Family/Spouse</t>
  </si>
  <si>
    <t>TSP</t>
  </si>
  <si>
    <t>SDP</t>
  </si>
  <si>
    <t>Partial Pay</t>
  </si>
  <si>
    <t>Advance Payments</t>
  </si>
  <si>
    <t>Montgomery GI Bill</t>
  </si>
  <si>
    <t>Child Support/Alimony Paid</t>
  </si>
  <si>
    <t>401K</t>
  </si>
  <si>
    <t>USER ENTERED — monthly snapshot only. Does NOT feed PROJECTIONS. Zero out if not contributing immediately at CS job start. C45=SUM(C27:C44) includes this in net income calc for the snapshot.</t>
  </si>
  <si>
    <t>NET MONTHLY INCOME</t>
  </si>
  <si>
    <t>SPOUSE MONTHLY INCOME</t>
  </si>
  <si>
    <t>Monthly Pay</t>
  </si>
  <si>
    <t>Other Take Home Pay/Second Job</t>
  </si>
  <si>
    <t>SPOUSE GROSS INCOME</t>
  </si>
  <si>
    <t>SPOUSE DEDUCTIONS</t>
  </si>
  <si>
    <t>SPOUSE NET INCOME</t>
  </si>
  <si>
    <t>TOTAL INCOME</t>
  </si>
  <si>
    <t>MONTHLY</t>
  </si>
  <si>
    <t>GROSS INCOME</t>
  </si>
  <si>
    <t>NET INCOME</t>
  </si>
  <si>
    <t>ANNUAL</t>
  </si>
  <si>
    <t>MONTHLY EXPENSES</t>
  </si>
  <si>
    <t xml:space="preserve">POTENTIAL LOCATION </t>
  </si>
  <si>
    <t>LIVING EXPENSES</t>
  </si>
  <si>
    <t>REMARKS</t>
  </si>
  <si>
    <t>HOUSING TOTAL</t>
  </si>
  <si>
    <t>Fees/HOA Fees/Pool Fees</t>
  </si>
  <si>
    <t>Furniture/Decorations</t>
  </si>
  <si>
    <t>Home Maintenance/Repairs</t>
  </si>
  <si>
    <t>Rent</t>
  </si>
  <si>
    <t>KEY: GI Bill BAH ($4,992/mo Bay Area) is income, not an expense offset. This rent IS your real cost — GI Bill covers it and more. Update to match your admitted school's market rate.</t>
  </si>
  <si>
    <t>Renters Insurance</t>
  </si>
  <si>
    <t>Renters insurance ~$80/mo typical</t>
  </si>
  <si>
    <t>UTILITIES TOTAL</t>
  </si>
  <si>
    <t>Cable/Satellite</t>
  </si>
  <si>
    <t>Cell Phone/Phone Cards/Landline</t>
  </si>
  <si>
    <t>Cell phone — same as current</t>
  </si>
  <si>
    <t>Internet</t>
  </si>
  <si>
    <t>Internet ~$79/mo — university area typical</t>
  </si>
  <si>
    <t>Electricity</t>
  </si>
  <si>
    <t>Electricity ~$60/mo for 1BR apt</t>
  </si>
  <si>
    <t>Natural Gas/Propane</t>
  </si>
  <si>
    <t>Garbage</t>
  </si>
  <si>
    <t>Water/Sewage</t>
  </si>
  <si>
    <t>TRANSPORTATION TOTAL</t>
  </si>
  <si>
    <t>Gasoline</t>
  </si>
  <si>
    <t>Gasoline — reduced; most PhD students use transit near campus</t>
  </si>
  <si>
    <t>Parking</t>
  </si>
  <si>
    <t>Taxes/Registration/Licensing</t>
  </si>
  <si>
    <t>Taxi/Bus/Uber/Lyft/Train</t>
  </si>
  <si>
    <t>BART/Caltrain/bus pass ~$100-150/mo Bay Area. Many campuses subsidize.</t>
  </si>
  <si>
    <t>Vehicle Maintenance/Repairs</t>
  </si>
  <si>
    <t>Vehicle maintenance — reduced mileage</t>
  </si>
  <si>
    <t>FOOD TOTAL</t>
  </si>
  <si>
    <t>Dining out</t>
  </si>
  <si>
    <t>Dining out — Bay Area PhD student estimate</t>
  </si>
  <si>
    <t>Groceries</t>
  </si>
  <si>
    <t>Groceries — Bay Area avg ~$400/mo single person</t>
  </si>
  <si>
    <t>Lunches</t>
  </si>
  <si>
    <t>Vending Machines</t>
  </si>
  <si>
    <t>INSURANCE TOTAL</t>
  </si>
  <si>
    <t>Auto Insurance</t>
  </si>
  <si>
    <t>Auto insurance — reduced to minimum coverage if needed</t>
  </si>
  <si>
    <t>Dental Insurance</t>
  </si>
  <si>
    <t>Dental — most PhD programs include dental in health plan</t>
  </si>
  <si>
    <t>Health Insurance</t>
  </si>
  <si>
    <t>Health ins — covered by university stipend package (typical PhD benefit)</t>
  </si>
  <si>
    <t>Life Insurance</t>
  </si>
  <si>
    <t>Life insurance ~$15/mo basic term</t>
  </si>
  <si>
    <t>Renters/Home Insurance</t>
  </si>
  <si>
    <t>HEALTHCARE</t>
  </si>
  <si>
    <t>Dental</t>
  </si>
  <si>
    <t>Dental copays — minimal with university coverage</t>
  </si>
  <si>
    <t>Doctor/Hospital/Urgent Care</t>
  </si>
  <si>
    <t>Doctor/urgent care copays</t>
  </si>
  <si>
    <t>Eye Care</t>
  </si>
  <si>
    <t>Eye care annual</t>
  </si>
  <si>
    <t>Prescriptions/Medications</t>
  </si>
  <si>
    <t>CLOTHING TOTAL</t>
  </si>
  <si>
    <t>Laundry/Dry Cleaning</t>
  </si>
  <si>
    <t>New Clothing Purchase</t>
  </si>
  <si>
    <t>Clothing — academic environment, slightly higher than current</t>
  </si>
  <si>
    <t>CHILD CARE TOTAL</t>
  </si>
  <si>
    <t>Allowance</t>
  </si>
  <si>
    <t>Child Support</t>
  </si>
  <si>
    <t>Day Care</t>
  </si>
  <si>
    <t>Diapers/Wipes/Etc.</t>
  </si>
  <si>
    <t>PET CARE TOTAL</t>
  </si>
  <si>
    <t>Food/Supplies</t>
  </si>
  <si>
    <t>Veterinarian/Grooming/Boarding</t>
  </si>
  <si>
    <t>PERSONAL TOTAL</t>
  </si>
  <si>
    <t>Beauty Shop/Barber Shop/Salon</t>
  </si>
  <si>
    <t>Haircuts/barber — reduced</t>
  </si>
  <si>
    <t>Health Club/Organizational Dues</t>
  </si>
  <si>
    <t>Nails/Massage/Personal Grooming</t>
  </si>
  <si>
    <t>Personal Spending Fund</t>
  </si>
  <si>
    <t>Personal fund — keep same</t>
  </si>
  <si>
    <t>Personal Supplies</t>
  </si>
  <si>
    <t>Tobacco/Alcohol</t>
  </si>
  <si>
    <t>EDUCATION TOTAL</t>
  </si>
  <si>
    <t>Books/Supplies</t>
  </si>
  <si>
    <t>Educational Materials</t>
  </si>
  <si>
    <t>Lessons/Tutor</t>
  </si>
  <si>
    <t>LEISURE/HOBBIES/ENTERTAINMENT TOTAL</t>
  </si>
  <si>
    <t>Athletic Events/Sporting Events</t>
  </si>
  <si>
    <t>Books/Magazines</t>
  </si>
  <si>
    <t>Books/materials — supplemental to GI Bill book stipend</t>
  </si>
  <si>
    <t>Computer Products</t>
  </si>
  <si>
    <t>Concerts/Theater</t>
  </si>
  <si>
    <t>DVDs &amp; CDs</t>
  </si>
  <si>
    <t>Movie/Music Downloads</t>
  </si>
  <si>
    <t>Streaming Services</t>
  </si>
  <si>
    <t>Toys/Games</t>
  </si>
  <si>
    <t>Travel/Lodging</t>
  </si>
  <si>
    <t>Netflix, Crunchyroll, Spotify</t>
  </si>
  <si>
    <t>Streaming — same</t>
  </si>
  <si>
    <t>CHATGPT</t>
  </si>
  <si>
    <t>ChatGPT — same</t>
  </si>
  <si>
    <t>AUDIBLE</t>
  </si>
  <si>
    <t>Audible — same</t>
  </si>
  <si>
    <t>Claude</t>
  </si>
  <si>
    <t>Claude — same</t>
  </si>
  <si>
    <t>CONTRIBUTIONS TOTAL</t>
  </si>
  <si>
    <t>Charities</t>
  </si>
  <si>
    <t>Religious Donations</t>
  </si>
  <si>
    <t>GIFTS TOTAL</t>
  </si>
  <si>
    <t>Holiday/Birthday/Anniversary</t>
  </si>
  <si>
    <t>MISCELLANEOUS TOTAL</t>
  </si>
  <si>
    <t>ATM Fees/Bank Fees</t>
  </si>
  <si>
    <t>Deployment/TAD Expenses</t>
  </si>
  <si>
    <t>Membership Fees</t>
  </si>
  <si>
    <t>GRAND TOTAL</t>
  </si>
  <si>
    <t>DEBT</t>
  </si>
  <si>
    <t>HOUSING CREDITOR</t>
  </si>
  <si>
    <t>CURRENT MONTHLY PAYMENT</t>
  </si>
  <si>
    <t>CURRENT BALANCE</t>
  </si>
  <si>
    <t>PROJECTED MONTHLY PAYMENT</t>
  </si>
  <si>
    <t>PROJECTED TOTAL COST</t>
  </si>
  <si>
    <t>REMARKS
(MONTHS BEHIND, PAID BY ALLOTMENT, ETC.)</t>
  </si>
  <si>
    <t>Rent/Primary Home Mortgage</t>
  </si>
  <si>
    <t>Secondary Home Mortgage</t>
  </si>
  <si>
    <t>Rental Property</t>
  </si>
  <si>
    <t>Other (Vacation Home/Trailer/Time Share)</t>
  </si>
  <si>
    <t>TOTAL</t>
  </si>
  <si>
    <t>CREDITOR</t>
  </si>
  <si>
    <t>PURPOSE</t>
  </si>
  <si>
    <t xml:space="preserve"> </t>
  </si>
  <si>
    <t>DEBT TO INCOME RATIO CALCULATIONS</t>
  </si>
  <si>
    <t>Total Gross Monthly Income</t>
  </si>
  <si>
    <t>Total Monthly Debt Payments</t>
  </si>
  <si>
    <t>DEBT-TO-INCOME RATIO</t>
  </si>
  <si>
    <t>TOTAL DEBT</t>
  </si>
  <si>
    <t>(Debt-to-Income Ratio equals total monthly debt payments divided by gross income and multiplied by 100.)</t>
  </si>
  <si>
    <t>ASSETS, LIABILITIES, AND NET WORTH</t>
  </si>
  <si>
    <t>ASSETS</t>
  </si>
  <si>
    <t>SAVINGS</t>
  </si>
  <si>
    <t>Cash on Hand</t>
  </si>
  <si>
    <t>Checking Accounts</t>
  </si>
  <si>
    <t>Savings Accounts</t>
  </si>
  <si>
    <t>Emergency Savings</t>
  </si>
  <si>
    <t>All in Roth, currently ~1900/month</t>
  </si>
  <si>
    <t>Certificates of Deposit (CDs)</t>
  </si>
  <si>
    <t>Cash Value of Life Insurance</t>
  </si>
  <si>
    <t>U.S. Savings Bonds</t>
  </si>
  <si>
    <t>Money Market Accounts</t>
  </si>
  <si>
    <t xml:space="preserve">Mutual Funds </t>
  </si>
  <si>
    <t>Stocks/Bonds</t>
  </si>
  <si>
    <t>College Funds</t>
  </si>
  <si>
    <t>401(k)/403(b)</t>
  </si>
  <si>
    <t>Roth IRA</t>
  </si>
  <si>
    <t xml:space="preserve">Not Invested. </t>
  </si>
  <si>
    <t>Brokerage</t>
  </si>
  <si>
    <t>REAL ESTATE (MARKET VALUE)</t>
  </si>
  <si>
    <t>Primary Home</t>
  </si>
  <si>
    <t>Secondary Home</t>
  </si>
  <si>
    <t>PERSONAL PROPERTY</t>
  </si>
  <si>
    <t>Vehicles/Motorcycles/Boats</t>
  </si>
  <si>
    <t>Furniture</t>
  </si>
  <si>
    <t>Jewelry</t>
  </si>
  <si>
    <t>TOTAL ASSETS</t>
  </si>
  <si>
    <t>LIABILITIES</t>
  </si>
  <si>
    <t>NET WORTH (ASSETS - LIABILITIES)</t>
  </si>
  <si>
    <t>SUMMARY</t>
  </si>
  <si>
    <t>Monthly</t>
  </si>
  <si>
    <t>NET Income</t>
  </si>
  <si>
    <t>Debt Payments</t>
  </si>
  <si>
    <t>MONTHLY SURPLUS OR DEFICIT</t>
  </si>
  <si>
    <t>ACTION PLAN</t>
  </si>
  <si>
    <t>INCREASE INCOME</t>
  </si>
  <si>
    <t>DECREASE LIVING EXPENSES</t>
  </si>
  <si>
    <t>DECREASE DEBT</t>
  </si>
  <si>
    <t>PLANNING ITEMS &amp; MODEL GAPS</t>
  </si>
  <si>
    <t>#</t>
  </si>
  <si>
    <t>Category</t>
  </si>
  <si>
    <t>Item</t>
  </si>
  <si>
    <t>VERIFY</t>
  </si>
  <si>
    <t>Verify actual pension estimate at DFAS calculator (mypay.dfas.mil) — current model uses estimated E-8 High-3</t>
  </si>
  <si>
    <t>Open</t>
  </si>
  <si>
    <t>Confirm GI Bill BAH rate for actual admitted school (CMU ~$1,400/mo vs Bay Area $4,992/mo — $43K/yr difference)</t>
  </si>
  <si>
    <t>GAP</t>
  </si>
  <si>
    <t>Add Social Security projections — Path B longer civilian career = higher SS benefit; both paths qualify</t>
  </si>
  <si>
    <t>Not modeled</t>
  </si>
  <si>
    <t>Housing costs not accurately modeled for all phases — Path A PhD (2035-2039) and Path B PhD (2028-2032) need school-specific rent</t>
  </si>
  <si>
    <t>Partially modeled</t>
  </si>
  <si>
    <t>Warrant Officer path not modeled — different pay trajectory than E-7; add as Path C if seriously considered</t>
  </si>
  <si>
    <t>Microsoft/civilian path (no PhD) not modeled — $117K starting vs $220K post-PhD; add as Path C or D</t>
  </si>
  <si>
    <t>GI Bill BAH duration: modeled as 3 years (rows 7-9 in PROJECTIONS) — verify this matches actual 36-month eligibility</t>
  </si>
  <si>
    <t>Review</t>
  </si>
  <si>
    <t>SENSITIVITY</t>
  </si>
  <si>
    <t>VA disability sensitivity analysis — model 10%, 20%, 30%, 40%, 50% ratings side by side</t>
  </si>
  <si>
    <t>Investment return sensitivity — model optimistic (9%), base (7%), pessimistic (5%) scenarios</t>
  </si>
  <si>
    <t>TRACKING</t>
  </si>
  <si>
    <t>Salary actuals tracking — add section to record actual vs projected income each year as career progresses</t>
  </si>
  <si>
    <t>Salary benchmark note: $220K is conservative post-PhD; DeepMind avg $264K, Anthropic median $442K (research scientist)</t>
  </si>
  <si>
    <t>Informational</t>
  </si>
  <si>
    <t>CONCERN</t>
  </si>
  <si>
    <t>Path A PhD years 2038-2039 show negative cash flow — GI Bill BAH ends, pension + stipend may not cover Bay Area expenses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</si>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</sst>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0.00"/>
    <numFmt numFmtId="165" formatCode="_(\$* #,##0.00_);_(\$* \(#,##0.00\);_(\$* \-??_);_(@_)"/>
    <numFmt numFmtId="166" formatCode="\$#,##0"/>
    <numFmt numFmtId="167" formatCode="0.0%"/>
    <numFmt numFmtId="168" formatCode="\$#,##0;&quot;($&quot;#,##0\);\-"/>
    <numFmt numFmtId="169" formatCode="\$#,##0.00_);[Red]&quot;($&quot;#,##0.00\)"/>
  </numFmts>
  <fonts count="28">
    <font>
      <sz val="12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8"/>
      <color rgb="FF808080"/>
      <name val="Arial"/>
      <family val="2"/>
    </font>
    <font>
      <sz val="10"/>
      <color rgb="FF008000"/>
      <name val="Arial"/>
      <family val="2"/>
    </font>
    <font>
      <sz val="11"/>
      <color rgb="FF0000FF"/>
      <name val="Cambria"/>
      <family val="1"/>
    </font>
    <font>
      <sz val="11"/>
      <color rgb="FFFF0000"/>
      <name val="Cambria"/>
      <family val="1"/>
    </font>
    <font>
      <sz val="11"/>
      <color rgb="FFFF6600"/>
      <name val="Cambria"/>
      <family val="1"/>
    </font>
    <font>
      <b/>
      <sz val="11"/>
      <name val="Cambria"/>
      <family val="1"/>
    </font>
    <font>
      <sz val="11"/>
      <color rgb="FF808080"/>
      <name val="Cambria"/>
      <family val="1"/>
    </font>
    <font>
      <b/>
      <sz val="13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9"/>
      <color rgb="FFC00000"/>
      <name val="Arial"/>
      <family val="2"/>
    </font>
    <font>
      <i/>
      <sz val="9"/>
      <color rgb="FF595959"/>
      <name val="Arial"/>
      <family val="2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i/>
      <sz val="8"/>
      <color rgb="FF595959"/>
      <name val="Arial"/>
      <family val="2"/>
    </font>
    <font>
      <b/>
      <sz val="12"/>
      <name val="Cambria"/>
      <family val="1"/>
    </font>
    <font>
      <sz val="11"/>
      <color rgb="FF7030A0"/>
      <name val="Cambria"/>
      <family val="1"/>
    </font>
    <font>
      <b/>
      <sz val="11"/>
      <color rgb="FFFF0000"/>
      <name val="Cambria"/>
      <family val="1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3C65AD"/>
      </patternFill>
    </fill>
    <fill>
      <patternFill patternType="solid">
        <fgColor rgb="FFD6E4F0"/>
        <bgColor rgb="FFDAE3F3"/>
      </patternFill>
    </fill>
    <fill>
      <patternFill patternType="solid">
        <fgColor rgb="FFFFFFCC"/>
        <bgColor rgb="FFFFF2CC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ED7D31"/>
      </patternFill>
    </fill>
    <fill>
      <patternFill patternType="solid">
        <fgColor rgb="FFC00000"/>
        <bgColor rgb="FFFF0000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theme="0"/>
        <bgColor rgb="FFF2F2F2"/>
      </patternFill>
    </fill>
    <fill>
      <patternFill patternType="solid">
        <fgColor rgb="FF9BBC59"/>
        <bgColor rgb="FFA5A5A5"/>
      </patternFill>
    </fill>
    <fill>
      <patternFill patternType="solid">
        <fgColor rgb="FFD9D9D9"/>
        <bgColor rgb="FFD6E4F0"/>
      </patternFill>
    </fill>
    <fill>
      <patternFill patternType="solid">
        <fgColor theme="4" tint="0.79979857783745845"/>
        <bgColor rgb="FFD6E4F0"/>
      </patternFill>
    </fill>
    <fill>
      <patternFill patternType="solid">
        <fgColor theme="5"/>
        <bgColor rgb="FFFF66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0" borderId="1" xfId="0" applyBorder="1"/>
    <xf numFmtId="0" fontId="22" fillId="1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" fontId="6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65" fontId="8" fillId="0" borderId="0" xfId="0" applyNumberFormat="1" applyFont="1"/>
    <xf numFmtId="166" fontId="6" fillId="4" borderId="1" xfId="0" applyNumberFormat="1" applyFont="1" applyFill="1" applyBorder="1" applyAlignment="1">
      <alignment horizontal="right" vertical="center"/>
    </xf>
    <xf numFmtId="167" fontId="6" fillId="4" borderId="1" xfId="0" applyNumberFormat="1" applyFont="1" applyFill="1" applyBorder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0" borderId="0" xfId="0" applyFont="1"/>
    <xf numFmtId="0" fontId="13" fillId="0" borderId="0" xfId="0" applyFont="1"/>
    <xf numFmtId="0" fontId="14" fillId="0" borderId="0" xfId="0" applyFont="1"/>
    <xf numFmtId="0" fontId="7" fillId="0" borderId="0" xfId="0" applyFont="1"/>
    <xf numFmtId="0" fontId="15" fillId="5" borderId="1" xfId="0" applyFont="1" applyFill="1" applyBorder="1" applyAlignment="1">
      <alignment horizontal="left" vertical="center"/>
    </xf>
    <xf numFmtId="0" fontId="0" fillId="5" borderId="1" xfId="0" applyFill="1" applyBorder="1"/>
    <xf numFmtId="0" fontId="15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15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5" fillId="2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3" fontId="16" fillId="0" borderId="1" xfId="0" applyNumberFormat="1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/>
    </xf>
    <xf numFmtId="168" fontId="17" fillId="8" borderId="1" xfId="0" applyNumberFormat="1" applyFont="1" applyFill="1" applyBorder="1" applyAlignment="1">
      <alignment horizontal="right" vertical="center"/>
    </xf>
    <xf numFmtId="0" fontId="17" fillId="9" borderId="1" xfId="0" applyFont="1" applyFill="1" applyBorder="1" applyAlignment="1">
      <alignment horizontal="left" vertical="center"/>
    </xf>
    <xf numFmtId="168" fontId="17" fillId="9" borderId="1" xfId="0" applyNumberFormat="1" applyFont="1" applyFill="1" applyBorder="1" applyAlignment="1">
      <alignment horizontal="right" vertical="center"/>
    </xf>
    <xf numFmtId="168" fontId="17" fillId="10" borderId="1" xfId="0" applyNumberFormat="1" applyFont="1" applyFill="1" applyBorder="1" applyAlignment="1">
      <alignment horizontal="right" vertical="center"/>
    </xf>
    <xf numFmtId="0" fontId="18" fillId="2" borderId="1" xfId="0" applyFont="1" applyFill="1" applyBorder="1"/>
    <xf numFmtId="0" fontId="0" fillId="2" borderId="1" xfId="0" applyFill="1" applyBorder="1"/>
    <xf numFmtId="0" fontId="16" fillId="0" borderId="1" xfId="0" applyFont="1" applyBorder="1"/>
    <xf numFmtId="168" fontId="16" fillId="8" borderId="1" xfId="0" applyNumberFormat="1" applyFont="1" applyFill="1" applyBorder="1"/>
    <xf numFmtId="168" fontId="16" fillId="9" borderId="1" xfId="0" applyNumberFormat="1" applyFont="1" applyFill="1" applyBorder="1"/>
    <xf numFmtId="168" fontId="16" fillId="10" borderId="1" xfId="0" applyNumberFormat="1" applyFont="1" applyFill="1" applyBorder="1"/>
    <xf numFmtId="0" fontId="19" fillId="0" borderId="1" xfId="0" applyFont="1" applyBorder="1"/>
    <xf numFmtId="1" fontId="19" fillId="10" borderId="1" xfId="0" applyNumberFormat="1" applyFont="1" applyFill="1" applyBorder="1"/>
    <xf numFmtId="0" fontId="16" fillId="0" borderId="0" xfId="0" applyFont="1"/>
    <xf numFmtId="0" fontId="20" fillId="0" borderId="0" xfId="0" applyFont="1"/>
    <xf numFmtId="0" fontId="0" fillId="0" borderId="0" xfId="0" applyAlignment="1" applyProtection="1">
      <alignment horizontal="center"/>
      <protection locked="0"/>
    </xf>
    <xf numFmtId="165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2" fillId="14" borderId="1" xfId="0" applyFont="1" applyFill="1" applyBorder="1"/>
    <xf numFmtId="165" fontId="22" fillId="14" borderId="1" xfId="0" applyNumberFormat="1" applyFont="1" applyFill="1" applyBorder="1"/>
    <xf numFmtId="0" fontId="24" fillId="0" borderId="0" xfId="0" applyFont="1" applyAlignment="1">
      <alignment horizontal="left" vertical="center"/>
    </xf>
    <xf numFmtId="0" fontId="0" fillId="0" borderId="0" xfId="0" applyProtection="1">
      <protection locked="0"/>
    </xf>
    <xf numFmtId="165" fontId="0" fillId="14" borderId="1" xfId="0" applyNumberFormat="1" applyFill="1" applyBorder="1"/>
    <xf numFmtId="165" fontId="0" fillId="0" borderId="0" xfId="0" applyNumberFormat="1"/>
    <xf numFmtId="0" fontId="22" fillId="13" borderId="4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1" fillId="12" borderId="1" xfId="0" applyFont="1" applyFill="1" applyBorder="1" applyAlignment="1">
      <alignment vertical="center"/>
    </xf>
    <xf numFmtId="0" fontId="22" fillId="13" borderId="1" xfId="0" applyFont="1" applyFill="1" applyBorder="1"/>
    <xf numFmtId="0" fontId="22" fillId="13" borderId="2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22" fillId="1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14" borderId="1" xfId="0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right"/>
      <protection locked="0"/>
    </xf>
    <xf numFmtId="168" fontId="6" fillId="4" borderId="1" xfId="0" applyNumberFormat="1" applyFont="1" applyFill="1" applyBorder="1" applyAlignment="1" applyProtection="1">
      <alignment horizontal="right" vertical="center"/>
      <protection locked="0"/>
    </xf>
    <xf numFmtId="0" fontId="24" fillId="0" borderId="1" xfId="0" applyFont="1" applyBorder="1" applyAlignment="1" applyProtection="1">
      <alignment horizontal="left" vertical="center"/>
      <protection locked="0"/>
    </xf>
    <xf numFmtId="0" fontId="22" fillId="14" borderId="1" xfId="0" applyFont="1" applyFill="1" applyBorder="1" applyAlignment="1">
      <alignment horizontal="left"/>
    </xf>
    <xf numFmtId="165" fontId="0" fillId="11" borderId="1" xfId="0" applyNumberFormat="1" applyFill="1" applyBorder="1" applyProtection="1">
      <protection locked="0"/>
    </xf>
    <xf numFmtId="0" fontId="0" fillId="11" borderId="1" xfId="0" applyFill="1" applyBorder="1" applyProtection="1">
      <protection locked="0"/>
    </xf>
    <xf numFmtId="0" fontId="0" fillId="14" borderId="1" xfId="0" applyFill="1" applyBorder="1"/>
    <xf numFmtId="169" fontId="0" fillId="11" borderId="1" xfId="0" applyNumberFormat="1" applyFill="1" applyBorder="1" applyProtection="1">
      <protection locked="0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/>
    <xf numFmtId="10" fontId="22" fillId="14" borderId="1" xfId="0" applyNumberFormat="1" applyFont="1" applyFill="1" applyBorder="1"/>
    <xf numFmtId="0" fontId="22" fillId="14" borderId="8" xfId="0" applyFont="1" applyFill="1" applyBorder="1"/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2" fillId="13" borderId="9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2" fillId="14" borderId="1" xfId="0" applyFont="1" applyFill="1" applyBorder="1" applyAlignment="1">
      <alignment horizontal="left" vertical="center"/>
    </xf>
    <xf numFmtId="165" fontId="0" fillId="14" borderId="3" xfId="0" applyNumberFormat="1" applyFill="1" applyBorder="1"/>
    <xf numFmtId="0" fontId="0" fillId="14" borderId="1" xfId="0" applyFill="1" applyBorder="1" applyProtection="1">
      <protection locked="0"/>
    </xf>
    <xf numFmtId="0" fontId="21" fillId="12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22" fillId="13" borderId="0" xfId="0" applyFont="1" applyFill="1" applyAlignment="1">
      <alignment horizontal="center" vertical="center"/>
    </xf>
    <xf numFmtId="165" fontId="22" fillId="14" borderId="0" xfId="0" applyNumberFormat="1" applyFont="1" applyFill="1"/>
    <xf numFmtId="10" fontId="22" fillId="14" borderId="0" xfId="0" applyNumberFormat="1" applyFont="1" applyFill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3" fillId="0" borderId="1" xfId="0" applyFont="1" applyBorder="1" applyAlignment="1" applyProtection="1">
      <alignment horizontal="left" vertical="top"/>
      <protection locked="0"/>
    </xf>
    <xf numFmtId="0" fontId="23" fillId="13" borderId="1" xfId="0" applyFont="1" applyFill="1" applyBorder="1" applyAlignment="1">
      <alignment horizontal="left"/>
    </xf>
    <xf numFmtId="0" fontId="21" fillId="11" borderId="1" xfId="0" applyFont="1" applyFill="1" applyBorder="1" applyAlignment="1" applyProtection="1">
      <alignment vertical="center"/>
      <protection locked="0"/>
    </xf>
    <xf numFmtId="0" fontId="22" fillId="12" borderId="1" xfId="0" applyFont="1" applyFill="1" applyBorder="1" applyAlignment="1">
      <alignment horizontal="center"/>
    </xf>
    <xf numFmtId="0" fontId="22" fillId="1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1" fillId="12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right"/>
    </xf>
    <xf numFmtId="0" fontId="22" fillId="12" borderId="2" xfId="0" applyFont="1" applyFill="1" applyBorder="1" applyAlignment="1">
      <alignment horizontal="center" vertical="center"/>
    </xf>
    <xf numFmtId="165" fontId="0" fillId="0" borderId="1" xfId="0" applyNumberFormat="1" applyBorder="1" applyAlignment="1" applyProtection="1">
      <alignment horizontal="center"/>
      <protection locked="0"/>
    </xf>
    <xf numFmtId="10" fontId="22" fillId="14" borderId="1" xfId="0" applyNumberFormat="1" applyFont="1" applyFill="1" applyBorder="1" applyAlignment="1">
      <alignment horizontal="center"/>
    </xf>
    <xf numFmtId="165" fontId="22" fillId="14" borderId="1" xfId="0" applyNumberFormat="1" applyFont="1" applyFill="1" applyBorder="1" applyAlignment="1">
      <alignment horizontal="center"/>
    </xf>
    <xf numFmtId="0" fontId="0" fillId="0" borderId="3" xfId="0" applyBorder="1"/>
    <xf numFmtId="0" fontId="22" fillId="14" borderId="1" xfId="0" applyFont="1" applyFill="1" applyBorder="1" applyAlignment="1">
      <alignment horizontal="right"/>
    </xf>
    <xf numFmtId="0" fontId="21" fillId="12" borderId="7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11" borderId="6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Border="1" applyAlignment="1" applyProtection="1">
      <alignment horizontal="left" vertical="top"/>
      <protection locked="0"/>
    </xf>
    <xf numFmtId="0" fontId="21" fillId="12" borderId="1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BFBFBF"/>
      <rgbColor rgb="FF808080"/>
      <rgbColor rgb="FF6383CA"/>
      <rgbColor rgb="FF7030A0"/>
      <rgbColor rgb="FFFFFFCC"/>
      <rgbColor rgb="FFD6E4F0"/>
      <rgbColor rgb="FF660066"/>
      <rgbColor rgb="FFED7D3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EFDA"/>
      <rgbColor rgb="FFFFF2CC"/>
      <rgbColor rgb="FF99CCFF"/>
      <rgbColor rgb="FFF2F2F2"/>
      <rgbColor rgb="FFCC99FF"/>
      <rgbColor rgb="FFFCE4D6"/>
      <rgbColor rgb="FF4472C4"/>
      <rgbColor rgb="FF33CCCC"/>
      <rgbColor rgb="FF9BBC59"/>
      <rgbColor rgb="FFFFC000"/>
      <rgbColor rgb="FFBF8F00"/>
      <rgbColor rgb="FFFF6600"/>
      <rgbColor rgb="FF3C65AD"/>
      <rgbColor rgb="FFA5A5A5"/>
      <rgbColor rgb="FF003366"/>
      <rgbColor rgb="FF339966"/>
      <rgbColor rgb="FF003300"/>
      <rgbColor rgb="FF404040"/>
      <rgbColor rgb="FF993300"/>
      <rgbColor rgb="FF993366"/>
      <rgbColor rgb="FF59595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97">
                <a:solidFill>
                  <a:srgbClr val="F2F2F2"/>
                </a:solidFill>
                <a:latin typeface="Calibri"/>
              </a:rPr>
              <a:t>Investment Portfolio Growth: Path A vs Path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PROJECTIONS!$K$4</c:f>
              <c:strCache>
                <c:ptCount val="1"/>
                <c:pt idx="0">
                  <c:v>Portfolio</c:v>
                </c:pt>
              </c:strCache>
            </c:strRef>
          </c:tx>
          <c:spPr>
            <a:ln w="3492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PROJECTIONS!$B$5:$B$35</c:f>
              <c:numCache>
                <c:formatCode>0</c:formatCod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numCache>
            </c:numRef>
          </c:cat>
          <c:val>
            <c:numRef>
              <c:f>PROJECTIONS!$K$5:$K$35</c:f>
              <c:numCache>
                <c:formatCode>\$#,##0;"($"#,##0\);\-</c:formatCode>
                <c:ptCount val="31"/>
                <c:pt idx="0">
                  <c:v>188814.58704000001</c:v>
                </c:pt>
                <c:pt idx="1">
                  <c:v>241331.83400880001</c:v>
                </c:pt>
                <c:pt idx="2">
                  <c:v>298022.20629711606</c:v>
                </c:pt>
                <c:pt idx="3">
                  <c:v>359189.3579996507</c:v>
                </c:pt>
                <c:pt idx="4">
                  <c:v>425158.4607519405</c:v>
                </c:pt>
                <c:pt idx="5">
                  <c:v>496277.71570320381</c:v>
                </c:pt>
                <c:pt idx="6">
                  <c:v>572919.97144694673</c:v>
                </c:pt>
                <c:pt idx="7">
                  <c:v>655484.45532864286</c:v>
                </c:pt>
                <c:pt idx="8">
                  <c:v>720292.6111985679</c:v>
                </c:pt>
                <c:pt idx="9">
                  <c:v>794170.95053643372</c:v>
                </c:pt>
                <c:pt idx="10">
                  <c:v>873243.47008917539</c:v>
                </c:pt>
                <c:pt idx="11">
                  <c:v>957873.94595475961</c:v>
                </c:pt>
                <c:pt idx="12">
                  <c:v>1033956.4581349936</c:v>
                </c:pt>
                <c:pt idx="13">
                  <c:v>1115387.9671661323</c:v>
                </c:pt>
                <c:pt idx="14">
                  <c:v>1229041.9869095921</c:v>
                </c:pt>
                <c:pt idx="15">
                  <c:v>1351860.3930810895</c:v>
                </c:pt>
                <c:pt idx="16">
                  <c:v>1484532.5824591396</c:v>
                </c:pt>
                <c:pt idx="17">
                  <c:v>1627798.1177007712</c:v>
                </c:pt>
                <c:pt idx="18">
                  <c:v>1782450.3152248033</c:v>
                </c:pt>
                <c:pt idx="19">
                  <c:v>1949340.0873010729</c:v>
                </c:pt>
                <c:pt idx="20">
                  <c:v>2129380.0562624251</c:v>
                </c:pt>
                <c:pt idx="21">
                  <c:v>2323548.9600153659</c:v>
                </c:pt>
                <c:pt idx="22">
                  <c:v>2532896.3693726896</c:v>
                </c:pt>
                <c:pt idx="23">
                  <c:v>2758547.7391733341</c:v>
                </c:pt>
                <c:pt idx="24">
                  <c:v>3001709.8166978066</c:v>
                </c:pt>
                <c:pt idx="25">
                  <c:v>3263676.4325388484</c:v>
                </c:pt>
                <c:pt idx="26">
                  <c:v>3545834.7008541524</c:v>
                </c:pt>
                <c:pt idx="27">
                  <c:v>3849671.6578190429</c:v>
                </c:pt>
                <c:pt idx="28">
                  <c:v>4176781.3691207343</c:v>
                </c:pt>
                <c:pt idx="29">
                  <c:v>4528872.5395014212</c:v>
                </c:pt>
                <c:pt idx="30">
                  <c:v>4907776.6596749499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61-D84B-93F6-633F49CB32C1}"/>
            </c:ext>
          </c:extLst>
        </c:ser>
        <c:ser>
          <c:idx val="1"/>
          <c:order val="1"/>
          <c:tx>
            <c:strRef>
              <c:f>PROJECTIONS!$T$4</c:f>
              <c:strCache>
                <c:ptCount val="1"/>
                <c:pt idx="0">
                  <c:v>Portfolio</c:v>
                </c:pt>
              </c:strCache>
            </c:strRef>
          </c:tx>
          <c:spPr>
            <a:ln w="3492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PROJECTIONS!$B$5:$B$35</c:f>
              <c:numCache>
                <c:formatCode>0</c:formatCod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numCache>
            </c:numRef>
          </c:cat>
          <c:val>
            <c:numRef>
              <c:f>PROJECTIONS!$T$5:$T$35</c:f>
              <c:numCache>
                <c:formatCode>\$#,##0;"($"#,##0\);\-</c:formatCode>
                <c:ptCount val="31"/>
                <c:pt idx="0">
                  <c:v>188814.58704000001</c:v>
                </c:pt>
                <c:pt idx="1">
                  <c:v>241331.83400880001</c:v>
                </c:pt>
                <c:pt idx="2">
                  <c:v>258225.06238941604</c:v>
                </c:pt>
                <c:pt idx="3">
                  <c:v>292566.77054753917</c:v>
                </c:pt>
                <c:pt idx="4">
                  <c:v>329162.22678248887</c:v>
                </c:pt>
                <c:pt idx="5">
                  <c:v>355187.85734793532</c:v>
                </c:pt>
                <c:pt idx="6">
                  <c:v>382879.84129567206</c:v>
                </c:pt>
                <c:pt idx="7">
                  <c:v>439169.74356360681</c:v>
                </c:pt>
                <c:pt idx="8">
                  <c:v>500410.20010090835</c:v>
                </c:pt>
                <c:pt idx="9">
                  <c:v>566987.68986761081</c:v>
                </c:pt>
                <c:pt idx="10">
                  <c:v>639317.23418896634</c:v>
                </c:pt>
                <c:pt idx="11">
                  <c:v>717844.44336899964</c:v>
                </c:pt>
                <c:pt idx="12">
                  <c:v>803047.70757241582</c:v>
                </c:pt>
                <c:pt idx="13">
                  <c:v>895440.54203652428</c:v>
                </c:pt>
                <c:pt idx="14">
                  <c:v>995574.09737142117</c:v>
                </c:pt>
                <c:pt idx="15">
                  <c:v>1104039.8464512029</c:v>
                </c:pt>
                <c:pt idx="16">
                  <c:v>1221472.4601947444</c:v>
                </c:pt>
                <c:pt idx="17">
                  <c:v>1348552.8853850779</c:v>
                </c:pt>
                <c:pt idx="18">
                  <c:v>1486011.6385853973</c:v>
                </c:pt>
                <c:pt idx="19">
                  <c:v>1634632.3311811904</c:v>
                </c:pt>
                <c:pt idx="20">
                  <c:v>1795255.44161624</c:v>
                </c:pt>
                <c:pt idx="21">
                  <c:v>1968782.3519997965</c:v>
                </c:pt>
                <c:pt idx="22">
                  <c:v>2156179.6674479996</c:v>
                </c:pt>
                <c:pt idx="23">
                  <c:v>2358483.8377897916</c:v>
                </c:pt>
                <c:pt idx="24">
                  <c:v>2576806.1026217151</c:v>
                </c:pt>
                <c:pt idx="25">
                  <c:v>2812337.782143028</c:v>
                </c:pt>
                <c:pt idx="26">
                  <c:v>3066355.9377488778</c:v>
                </c:pt>
                <c:pt idx="27">
                  <c:v>3340229.4280115757</c:v>
                </c:pt>
                <c:pt idx="28">
                  <c:v>3635425.3874455849</c:v>
                </c:pt>
                <c:pt idx="29">
                  <c:v>3953516.1573383762</c:v>
                </c:pt>
                <c:pt idx="30">
                  <c:v>4296186.6999450456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A61-D84B-93F6-633F49CB3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6273907"/>
        <c:axId val="99326062"/>
      </c:lineChart>
      <c:catAx>
        <c:axId val="862739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900" b="1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D9D9D9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F2F2F2">
                <a:alpha val="10000"/>
              </a:srgbClr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99326062"/>
        <c:crosses val="autoZero"/>
        <c:auto val="1"/>
        <c:lblAlgn val="ctr"/>
        <c:lblOffset val="100"/>
        <c:noMultiLvlLbl val="0"/>
      </c:catAx>
      <c:valAx>
        <c:axId val="99326062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D9D9D9"/>
                    </a:solidFill>
                    <a:latin typeface="Calibri"/>
                  </a:rPr>
                  <a:t>Portfolio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862739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D9D9D9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D9D9D9"/>
                </a:solidFill>
                <a:latin typeface="Calibri"/>
              </a:rPr>
              <a:t>Annual Net Cash Flow: Path A vs Path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PROJECTIONS!$J$4</c:f>
              <c:strCache>
                <c:ptCount val="1"/>
                <c:pt idx="0">
                  <c:v>Net Cash Flow</c:v>
                </c:pt>
              </c:strCache>
            </c:strRef>
          </c:tx>
          <c:spPr>
            <a:ln w="2232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BFBFBF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PROJECTIONS!$B$5:$B$35</c:f>
              <c:numCache>
                <c:formatCode>0</c:formatCod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numCache>
            </c:numRef>
          </c:cat>
          <c:val>
            <c:numRef>
              <c:f>PROJECTIONS!$J$5:$J$35</c:f>
              <c:numCache>
                <c:formatCode>\$#,##0;"($"#,##0\);\-</c:formatCode>
                <c:ptCount val="31"/>
                <c:pt idx="0">
                  <c:v>80072.935200000007</c:v>
                </c:pt>
                <c:pt idx="1">
                  <c:v>82501.129379999969</c:v>
                </c:pt>
                <c:pt idx="2">
                  <c:v>84985.719538499994</c:v>
                </c:pt>
                <c:pt idx="3">
                  <c:v>87527.986308682477</c:v>
                </c:pt>
                <c:pt idx="4">
                  <c:v>90129.23846157112</c:v>
                </c:pt>
                <c:pt idx="5">
                  <c:v>92790.813493137131</c:v>
                </c:pt>
                <c:pt idx="6">
                  <c:v>95514.078222593103</c:v>
                </c:pt>
                <c:pt idx="7">
                  <c:v>98300.42940204934</c:v>
                </c:pt>
                <c:pt idx="8">
                  <c:v>94621.219984599593</c:v>
                </c:pt>
                <c:pt idx="9">
                  <c:v>117289.28276983058</c:v>
                </c:pt>
                <c:pt idx="10">
                  <c:v>117402.76507595587</c:v>
                </c:pt>
                <c:pt idx="11">
                  <c:v>117517.16479670981</c:v>
                </c:pt>
                <c:pt idx="12">
                  <c:v>45156.679817003627</c:v>
                </c:pt>
                <c:pt idx="13">
                  <c:v>45272.7848084453</c:v>
                </c:pt>
                <c:pt idx="14">
                  <c:v>147884.31020915302</c:v>
                </c:pt>
                <c:pt idx="15">
                  <c:v>153927.3354391297</c:v>
                </c:pt>
                <c:pt idx="16">
                  <c:v>160209.80931186932</c:v>
                </c:pt>
                <c:pt idx="17">
                  <c:v>166741.27234745902</c:v>
                </c:pt>
                <c:pt idx="18">
                  <c:v>173531.64642489093</c:v>
                </c:pt>
                <c:pt idx="19">
                  <c:v>180591.25005266612</c:v>
                </c:pt>
                <c:pt idx="20">
                  <c:v>187930.81425138417</c:v>
                </c:pt>
                <c:pt idx="21">
                  <c:v>195561.4990728538</c:v>
                </c:pt>
                <c:pt idx="22">
                  <c:v>203494.9107812384</c:v>
                </c:pt>
                <c:pt idx="23">
                  <c:v>211743.11972277879</c:v>
                </c:pt>
                <c:pt idx="24">
                  <c:v>220318.67891169433</c:v>
                </c:pt>
                <c:pt idx="25">
                  <c:v>229234.64336097497</c:v>
                </c:pt>
                <c:pt idx="26">
                  <c:v>238504.59018792206</c:v>
                </c:pt>
                <c:pt idx="27">
                  <c:v>248142.63952549882</c:v>
                </c:pt>
                <c:pt idx="28">
                  <c:v>258163.47627179057</c:v>
                </c:pt>
                <c:pt idx="29">
                  <c:v>268582.37271117489</c:v>
                </c:pt>
                <c:pt idx="30">
                  <c:v>279415.21204214485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27-4245-BD80-216083A2677D}"/>
            </c:ext>
          </c:extLst>
        </c:ser>
        <c:ser>
          <c:idx val="1"/>
          <c:order val="1"/>
          <c:tx>
            <c:strRef>
              <c:f>PROJECTIONS!$S$4</c:f>
              <c:strCache>
                <c:ptCount val="1"/>
                <c:pt idx="0">
                  <c:v>Net Cash Flow</c:v>
                </c:pt>
              </c:strCache>
            </c:strRef>
          </c:tx>
          <c:spPr>
            <a:ln w="2232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BFBFBF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PROJECTIONS!$B$5:$B$35</c:f>
              <c:numCache>
                <c:formatCode>0</c:formatCod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numCache>
            </c:numRef>
          </c:cat>
          <c:val>
            <c:numRef>
              <c:f>PROJECTIONS!$S$5:$S$35</c:f>
              <c:numCache>
                <c:formatCode>\$#,##0;"($"#,##0\);\-</c:formatCode>
                <c:ptCount val="31"/>
                <c:pt idx="0">
                  <c:v>80072.935200000007</c:v>
                </c:pt>
                <c:pt idx="1">
                  <c:v>82501.129379999969</c:v>
                </c:pt>
                <c:pt idx="2">
                  <c:v>-19215.963655999993</c:v>
                </c:pt>
                <c:pt idx="3">
                  <c:v>81329.76895432001</c:v>
                </c:pt>
                <c:pt idx="4">
                  <c:v>80578.911483109609</c:v>
                </c:pt>
                <c:pt idx="5">
                  <c:v>14921.373453361113</c:v>
                </c:pt>
                <c:pt idx="6">
                  <c:v>14144.169666906229</c:v>
                </c:pt>
                <c:pt idx="7">
                  <c:v>117441.56688618858</c:v>
                </c:pt>
                <c:pt idx="8">
                  <c:v>122492.87243924508</c:v>
                </c:pt>
                <c:pt idx="9">
                  <c:v>127743.87879819449</c:v>
                </c:pt>
                <c:pt idx="10">
                  <c:v>133202.030153114</c:v>
                </c:pt>
                <c:pt idx="11">
                  <c:v>138875.01393402836</c:v>
                </c:pt>
                <c:pt idx="12">
                  <c:v>144770.76583793116</c:v>
                </c:pt>
                <c:pt idx="13">
                  <c:v>150897.47467019668</c:v>
                </c:pt>
                <c:pt idx="14">
                  <c:v>157263.58696170076</c:v>
                </c:pt>
                <c:pt idx="15">
                  <c:v>163877.81131891118</c:v>
                </c:pt>
                <c:pt idx="16">
                  <c:v>170749.12245978604</c:v>
                </c:pt>
                <c:pt idx="17">
                  <c:v>177886.7648835057</c:v>
                </c:pt>
                <c:pt idx="18">
                  <c:v>185300.25611681849</c:v>
                </c:pt>
                <c:pt idx="19">
                  <c:v>192999.38947407674</c:v>
                </c:pt>
                <c:pt idx="20">
                  <c:v>200994.23626183049</c:v>
                </c:pt>
                <c:pt idx="21">
                  <c:v>209295.14735209814</c:v>
                </c:pt>
                <c:pt idx="22">
                  <c:v>217912.75404108636</c:v>
                </c:pt>
                <c:pt idx="23">
                  <c:v>226857.96810216043</c:v>
                </c:pt>
                <c:pt idx="24">
                  <c:v>236141.98093318794</c:v>
                </c:pt>
                <c:pt idx="25">
                  <c:v>245776.26168896339</c:v>
                </c:pt>
                <c:pt idx="26">
                  <c:v>255772.55427918944</c:v>
                </c:pt>
                <c:pt idx="27">
                  <c:v>266142.87310138048</c:v>
                </c:pt>
                <c:pt idx="28">
                  <c:v>276899.49736599287</c:v>
                </c:pt>
                <c:pt idx="29">
                  <c:v>288054.96385799901</c:v>
                </c:pt>
                <c:pt idx="30">
                  <c:v>299622.05796491459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927-4245-BD80-216083A26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3563311"/>
        <c:axId val="10461594"/>
      </c:lineChart>
      <c:catAx>
        <c:axId val="43563311"/>
        <c:scaling>
          <c:orientation val="minMax"/>
        </c:scaling>
        <c:delete val="0"/>
        <c:axPos val="b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n-US"/>
          </a:p>
        </c:txPr>
        <c:crossAx val="10461594"/>
        <c:crosses val="autoZero"/>
        <c:auto val="1"/>
        <c:lblAlgn val="ctr"/>
        <c:lblOffset val="100"/>
        <c:noMultiLvlLbl val="0"/>
      </c:catAx>
      <c:valAx>
        <c:axId val="10461594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BFBFBF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BFBFBF"/>
                    </a:solidFill>
                    <a:latin typeface="Calibri"/>
                  </a:rPr>
                  <a:t>Net Cash Flow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n-US"/>
          </a:p>
        </c:txPr>
        <c:crossAx val="43563311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BFBFBF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40404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97">
                <a:solidFill>
                  <a:srgbClr val="F2F2F2"/>
                </a:solidFill>
                <a:latin typeface="Calibri"/>
              </a:rPr>
              <a:t>Cumulative Cash Flow Advantage (Path A over Path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PROJECTIONS!$Y$4</c:f>
              <c:strCache>
                <c:ptCount val="1"/>
                <c:pt idx="0">
                  <c:v>Cumul. Adv.</c:v>
                </c:pt>
              </c:strCache>
            </c:strRef>
          </c:tx>
          <c:spPr>
            <a:gradFill>
              <a:gsLst>
                <a:gs pos="0">
                  <a:srgbClr val="6383CA"/>
                </a:gs>
                <a:gs pos="50000">
                  <a:srgbClr val="4371C3"/>
                </a:gs>
                <a:gs pos="100000">
                  <a:srgbClr val="3C65AD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PROJECTIONS!$B$5:$B$35</c:f>
              <c:numCache>
                <c:formatCode>0</c:formatCod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numCache>
            </c:numRef>
          </c:cat>
          <c:val>
            <c:numRef>
              <c:f>PROJECTIONS!$Y$5:$Y$35</c:f>
              <c:numCache>
                <c:formatCode>\$#,##0;"($"#,##0\);\-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104201.68319449999</c:v>
                </c:pt>
                <c:pt idx="3">
                  <c:v>110399.90054886245</c:v>
                </c:pt>
                <c:pt idx="4">
                  <c:v>119950.22752732396</c:v>
                </c:pt>
                <c:pt idx="5">
                  <c:v>197819.66756709997</c:v>
                </c:pt>
                <c:pt idx="6">
                  <c:v>279189.57612278685</c:v>
                </c:pt>
                <c:pt idx="7">
                  <c:v>260048.43863864761</c:v>
                </c:pt>
                <c:pt idx="8">
                  <c:v>232176.78618400212</c:v>
                </c:pt>
                <c:pt idx="9">
                  <c:v>221722.19015563821</c:v>
                </c:pt>
                <c:pt idx="10">
                  <c:v>205922.9250784801</c:v>
                </c:pt>
                <c:pt idx="11">
                  <c:v>184565.07594116154</c:v>
                </c:pt>
                <c:pt idx="12">
                  <c:v>84950.989920234017</c:v>
                </c:pt>
                <c:pt idx="13">
                  <c:v>-20673.699941517363</c:v>
                </c:pt>
                <c:pt idx="14">
                  <c:v>-30052.976694065102</c:v>
                </c:pt>
                <c:pt idx="15">
                  <c:v>-40003.452573846575</c:v>
                </c:pt>
                <c:pt idx="16">
                  <c:v>-50542.765721763295</c:v>
                </c:pt>
                <c:pt idx="17">
                  <c:v>-61688.258257809983</c:v>
                </c:pt>
                <c:pt idx="18">
                  <c:v>-73456.867949737541</c:v>
                </c:pt>
                <c:pt idx="19">
                  <c:v>-85865.007371148167</c:v>
                </c:pt>
                <c:pt idx="20">
                  <c:v>-98928.429381594484</c:v>
                </c:pt>
                <c:pt idx="21">
                  <c:v>-112662.07766083883</c:v>
                </c:pt>
                <c:pt idx="22">
                  <c:v>-127079.92092068678</c:v>
                </c:pt>
                <c:pt idx="23">
                  <c:v>-142194.76930006844</c:v>
                </c:pt>
                <c:pt idx="24">
                  <c:v>-158018.07132156205</c:v>
                </c:pt>
                <c:pt idx="25">
                  <c:v>-174559.68964955048</c:v>
                </c:pt>
                <c:pt idx="26">
                  <c:v>-191827.65374081786</c:v>
                </c:pt>
                <c:pt idx="27">
                  <c:v>-209827.88731669952</c:v>
                </c:pt>
                <c:pt idx="28">
                  <c:v>-228563.90841090181</c:v>
                </c:pt>
                <c:pt idx="29">
                  <c:v>-248036.49955772594</c:v>
                </c:pt>
                <c:pt idx="30">
                  <c:v>-268243.34548049571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B-AD4D-BC75-B5FC80AAC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279886"/>
        <c:axId val="12878148"/>
      </c:barChart>
      <c:catAx>
        <c:axId val="55279886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12600">
            <a:solidFill>
              <a:srgbClr val="F2F2F2">
                <a:alpha val="54000"/>
              </a:srgbClr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12878148"/>
        <c:crosses val="autoZero"/>
        <c:auto val="1"/>
        <c:lblAlgn val="ctr"/>
        <c:lblOffset val="100"/>
        <c:noMultiLvlLbl val="0"/>
      </c:catAx>
      <c:valAx>
        <c:axId val="12878148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D9D9D9"/>
                    </a:solidFill>
                    <a:latin typeface="Calibri"/>
                  </a:rPr>
                  <a:t>Cumulative Advantage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552798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D9D9D9"/>
                </a:solidFill>
                <a:latin typeface="Calibri"/>
              </a:defRPr>
            </a:pPr>
            <a:r>
              <a:rPr lang="en-US" sz="1400" b="1" strike="noStrike" spc="-1">
                <a:solidFill>
                  <a:srgbClr val="D9D9D9"/>
                </a:solidFill>
                <a:latin typeface="Calibri"/>
              </a:rPr>
              <a:t>Annual Healthcare Costs: TRICARE vs Civilian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PROJECTIONS!$G$4</c:f>
              <c:strCache>
                <c:ptCount val="1"/>
                <c:pt idx="0">
                  <c:v>Healthcare</c:v>
                </c:pt>
              </c:strCache>
            </c:strRef>
          </c:tx>
          <c:spPr>
            <a:ln w="2232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BFBFBF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PROJECTIONS!$B$5:$B$35</c:f>
              <c:numCache>
                <c:formatCode>0</c:formatCod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numCache>
            </c:numRef>
          </c:cat>
          <c:val>
            <c:numRef>
              <c:f>PROJECTIONS!$G$5:$G$35</c:f>
              <c:numCache>
                <c:formatCode>\$#,##0;"($"#,##0\);\-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45.5</c:v>
                </c:pt>
                <c:pt idx="9">
                  <c:v>187.46</c:v>
                </c:pt>
                <c:pt idx="10">
                  <c:v>193.0838</c:v>
                </c:pt>
                <c:pt idx="11">
                  <c:v>198.87631400000001</c:v>
                </c:pt>
                <c:pt idx="12">
                  <c:v>204.84260341999999</c:v>
                </c:pt>
                <c:pt idx="13">
                  <c:v>210.98788152259996</c:v>
                </c:pt>
                <c:pt idx="14">
                  <c:v>217.317517968278</c:v>
                </c:pt>
                <c:pt idx="15">
                  <c:v>223.83704350732634</c:v>
                </c:pt>
                <c:pt idx="16">
                  <c:v>230.55215481254609</c:v>
                </c:pt>
                <c:pt idx="17">
                  <c:v>237.46871945692249</c:v>
                </c:pt>
                <c:pt idx="18">
                  <c:v>244.59278104063017</c:v>
                </c:pt>
                <c:pt idx="19">
                  <c:v>251.93056447184907</c:v>
                </c:pt>
                <c:pt idx="20">
                  <c:v>259.4884814060045</c:v>
                </c:pt>
                <c:pt idx="21">
                  <c:v>267.27313584818461</c:v>
                </c:pt>
                <c:pt idx="22">
                  <c:v>275.2913299236302</c:v>
                </c:pt>
                <c:pt idx="23">
                  <c:v>283.55006982133915</c:v>
                </c:pt>
                <c:pt idx="24">
                  <c:v>292.05657191597925</c:v>
                </c:pt>
                <c:pt idx="25">
                  <c:v>300.81826907345862</c:v>
                </c:pt>
                <c:pt idx="26">
                  <c:v>309.84281714566237</c:v>
                </c:pt>
                <c:pt idx="27">
                  <c:v>319.13810166003225</c:v>
                </c:pt>
                <c:pt idx="28">
                  <c:v>328.71224470983321</c:v>
                </c:pt>
                <c:pt idx="29">
                  <c:v>338.57361205112818</c:v>
                </c:pt>
                <c:pt idx="30">
                  <c:v>348.73082041266207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40-344A-AB0B-772977F1826B}"/>
            </c:ext>
          </c:extLst>
        </c:ser>
        <c:ser>
          <c:idx val="1"/>
          <c:order val="1"/>
          <c:tx>
            <c:strRef>
              <c:f>PROJECTIONS!$P$4</c:f>
              <c:strCache>
                <c:ptCount val="1"/>
                <c:pt idx="0">
                  <c:v>Healthcare</c:v>
                </c:pt>
              </c:strCache>
            </c:strRef>
          </c:tx>
          <c:spPr>
            <a:ln w="2232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BFBFBF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PROJECTIONS!$B$5:$B$35</c:f>
              <c:numCache>
                <c:formatCode>0</c:formatCod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numCache>
            </c:numRef>
          </c:cat>
          <c:val>
            <c:numRef>
              <c:f>PROJECTIONS!$P$5:$P$35</c:f>
              <c:numCache>
                <c:formatCode>\$#,##0;"($"#,##0\);\-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3000</c:v>
                </c:pt>
                <c:pt idx="8">
                  <c:v>3240</c:v>
                </c:pt>
                <c:pt idx="9">
                  <c:v>3499.2000000000003</c:v>
                </c:pt>
                <c:pt idx="10">
                  <c:v>3779.1360000000004</c:v>
                </c:pt>
                <c:pt idx="11">
                  <c:v>4081.4668800000009</c:v>
                </c:pt>
                <c:pt idx="12">
                  <c:v>4407.9842304000013</c:v>
                </c:pt>
                <c:pt idx="13">
                  <c:v>4760.6229688320018</c:v>
                </c:pt>
                <c:pt idx="14">
                  <c:v>5141.4728063385619</c:v>
                </c:pt>
                <c:pt idx="15">
                  <c:v>5552.7906308456468</c:v>
                </c:pt>
                <c:pt idx="16">
                  <c:v>5997.013881313299</c:v>
                </c:pt>
                <c:pt idx="17">
                  <c:v>6476.7749918183636</c:v>
                </c:pt>
                <c:pt idx="18">
                  <c:v>6994.9169911638319</c:v>
                </c:pt>
                <c:pt idx="19">
                  <c:v>7554.5103504569397</c:v>
                </c:pt>
                <c:pt idx="20">
                  <c:v>8158.8711784934949</c:v>
                </c:pt>
                <c:pt idx="21">
                  <c:v>8811.5808727729764</c:v>
                </c:pt>
                <c:pt idx="22">
                  <c:v>9516.507342594814</c:v>
                </c:pt>
                <c:pt idx="23">
                  <c:v>10277.827930002399</c:v>
                </c:pt>
                <c:pt idx="24">
                  <c:v>11100.054164402593</c:v>
                </c:pt>
                <c:pt idx="25">
                  <c:v>11988.058497554801</c:v>
                </c:pt>
                <c:pt idx="26">
                  <c:v>12947.103177359186</c:v>
                </c:pt>
                <c:pt idx="27">
                  <c:v>13982.871431547919</c:v>
                </c:pt>
                <c:pt idx="28">
                  <c:v>15101.501146071754</c:v>
                </c:pt>
                <c:pt idx="29">
                  <c:v>16309.621237757496</c:v>
                </c:pt>
                <c:pt idx="30">
                  <c:v>17614.390936778098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740-344A-AB0B-772977F18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702658"/>
        <c:axId val="45466324"/>
      </c:lineChart>
      <c:catAx>
        <c:axId val="22702658"/>
        <c:scaling>
          <c:orientation val="minMax"/>
        </c:scaling>
        <c:delete val="0"/>
        <c:axPos val="b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n-US"/>
          </a:p>
        </c:txPr>
        <c:crossAx val="45466324"/>
        <c:crosses val="autoZero"/>
        <c:auto val="1"/>
        <c:lblAlgn val="ctr"/>
        <c:lblOffset val="100"/>
        <c:noMultiLvlLbl val="0"/>
      </c:catAx>
      <c:valAx>
        <c:axId val="45466324"/>
        <c:scaling>
          <c:orientation val="minMax"/>
        </c:scaling>
        <c:delete val="0"/>
        <c:axPos val="l"/>
        <c:majorGridlines>
          <c:spPr>
            <a:ln w="9360">
              <a:solidFill>
                <a:srgbClr val="59595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BFBFBF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BFBFBF"/>
                    </a:solidFill>
                    <a:latin typeface="Calibri"/>
                  </a:rPr>
                  <a:t>Annual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BFBFBF"/>
                </a:solidFill>
                <a:latin typeface="Calibri"/>
              </a:defRPr>
            </a:pPr>
            <a:endParaRPr lang="en-US"/>
          </a:p>
        </c:txPr>
        <c:crossAx val="22702658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BFBFBF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404040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600" b="1" strike="noStrike" spc="97">
                <a:solidFill>
                  <a:srgbClr val="F2F2F2"/>
                </a:solidFill>
                <a:latin typeface="Calibri"/>
              </a:defRPr>
            </a:pPr>
            <a:r>
              <a:rPr lang="en-US" sz="1600" b="1" strike="noStrike" spc="97">
                <a:solidFill>
                  <a:srgbClr val="F2F2F2"/>
                </a:solidFill>
                <a:latin typeface="Calibri"/>
              </a:rPr>
              <a:t>Total Annual Income (Gross + Tax-Free): Path A vs Path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PROJECTIONS!$D$4</c:f>
              <c:strCache>
                <c:ptCount val="1"/>
                <c:pt idx="0">
                  <c:v>Gross Income</c:v>
                </c:pt>
              </c:strCache>
            </c:strRef>
          </c:tx>
          <c:spPr>
            <a:ln w="34920" cap="rnd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PROJECTIONS!$B$5:$B$35</c:f>
              <c:numCache>
                <c:formatCode>0</c:formatCod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numCache>
            </c:numRef>
          </c:cat>
          <c:val>
            <c:numRef>
              <c:f>PROJECTIONS!$D$5:$D$35</c:f>
              <c:numCache>
                <c:formatCode>\$#,##0;"($"#,##0\);\-</c:formatCode>
                <c:ptCount val="31"/>
                <c:pt idx="0">
                  <c:v>105723.84</c:v>
                </c:pt>
                <c:pt idx="1">
                  <c:v>108366.93599999999</c:v>
                </c:pt>
                <c:pt idx="2">
                  <c:v>111076.10939999999</c:v>
                </c:pt>
                <c:pt idx="3">
                  <c:v>113853.01213499998</c:v>
                </c:pt>
                <c:pt idx="4">
                  <c:v>116699.33743837498</c:v>
                </c:pt>
                <c:pt idx="5">
                  <c:v>119616.82087433433</c:v>
                </c:pt>
                <c:pt idx="6">
                  <c:v>122607.24139619268</c:v>
                </c:pt>
                <c:pt idx="7">
                  <c:v>125672.42243109751</c:v>
                </c:pt>
                <c:pt idx="8">
                  <c:v>107509.6747439062</c:v>
                </c:pt>
                <c:pt idx="9">
                  <c:v>91816.687999999995</c:v>
                </c:pt>
                <c:pt idx="10">
                  <c:v>93071.555263999995</c:v>
                </c:pt>
                <c:pt idx="11">
                  <c:v>94361.558811391995</c:v>
                </c:pt>
                <c:pt idx="12">
                  <c:v>95687.682458110969</c:v>
                </c:pt>
                <c:pt idx="13">
                  <c:v>97050.937566938082</c:v>
                </c:pt>
                <c:pt idx="14">
                  <c:v>271452.36381881236</c:v>
                </c:pt>
                <c:pt idx="15">
                  <c:v>281693.03000573907</c:v>
                </c:pt>
                <c:pt idx="16">
                  <c:v>292326.03484589979</c:v>
                </c:pt>
                <c:pt idx="17">
                  <c:v>303366.58782158501</c:v>
                </c:pt>
                <c:pt idx="18">
                  <c:v>314830.49324058939</c:v>
                </c:pt>
                <c:pt idx="19">
                  <c:v>326734.17364972597</c:v>
                </c:pt>
                <c:pt idx="20">
                  <c:v>339094.69417425431</c:v>
                </c:pt>
                <c:pt idx="21">
                  <c:v>351929.78781996283</c:v>
                </c:pt>
                <c:pt idx="22">
                  <c:v>365257.88177610439</c:v>
                </c:pt>
                <c:pt idx="23">
                  <c:v>379098.12475890532</c:v>
                </c:pt>
                <c:pt idx="24">
                  <c:v>393470.41543694737</c:v>
                </c:pt>
                <c:pt idx="25">
                  <c:v>408395.4319813663</c:v>
                </c:pt>
                <c:pt idx="26">
                  <c:v>423894.66278551647</c:v>
                </c:pt>
                <c:pt idx="27">
                  <c:v>439990.43840052956</c:v>
                </c:pt>
                <c:pt idx="28">
                  <c:v>456705.96473504382</c:v>
                </c:pt>
                <c:pt idx="29">
                  <c:v>474065.3575692965</c:v>
                </c:pt>
                <c:pt idx="30">
                  <c:v>492093.6784357751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69-764F-B534-5F5FA35ED0D6}"/>
            </c:ext>
          </c:extLst>
        </c:ser>
        <c:ser>
          <c:idx val="1"/>
          <c:order val="1"/>
          <c:tx>
            <c:strRef>
              <c:f>PROJECTIONS!$E$4</c:f>
              <c:strCache>
                <c:ptCount val="1"/>
                <c:pt idx="0">
                  <c:v>Tax-Free Income</c:v>
                </c:pt>
              </c:strCache>
            </c:strRef>
          </c:tx>
          <c:spPr>
            <a:ln w="34920" cap="rnd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PROJECTIONS!$B$5:$B$35</c:f>
              <c:numCache>
                <c:formatCode>0</c:formatCod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numCache>
            </c:numRef>
          </c:cat>
          <c:val>
            <c:numRef>
              <c:f>PROJECTIONS!$E$5:$E$35</c:f>
              <c:numCache>
                <c:formatCode>\$#,##0;"($"#,##0\);\-</c:formatCode>
                <c:ptCount val="31"/>
                <c:pt idx="0">
                  <c:v>38623.919999999998</c:v>
                </c:pt>
                <c:pt idx="1">
                  <c:v>39589.517999999996</c:v>
                </c:pt>
                <c:pt idx="2">
                  <c:v>40579.255949999992</c:v>
                </c:pt>
                <c:pt idx="3">
                  <c:v>41593.737348749994</c:v>
                </c:pt>
                <c:pt idx="4">
                  <c:v>42633.580782468736</c:v>
                </c:pt>
                <c:pt idx="5">
                  <c:v>43699.420302030456</c:v>
                </c:pt>
                <c:pt idx="6">
                  <c:v>44791.905809581214</c:v>
                </c:pt>
                <c:pt idx="7">
                  <c:v>45911.703454820745</c:v>
                </c:pt>
                <c:pt idx="8">
                  <c:v>36952.032030893446</c:v>
                </c:pt>
                <c:pt idx="9">
                  <c:v>67719.269920000006</c:v>
                </c:pt>
                <c:pt idx="10">
                  <c:v>67910.097477760006</c:v>
                </c:pt>
                <c:pt idx="11">
                  <c:v>68106.268207137284</c:v>
                </c:pt>
                <c:pt idx="12">
                  <c:v>7403.9317169371243</c:v>
                </c:pt>
                <c:pt idx="13">
                  <c:v>7611.2418050113638</c:v>
                </c:pt>
                <c:pt idx="14">
                  <c:v>7824.356575551682</c:v>
                </c:pt>
                <c:pt idx="15">
                  <c:v>8043.4385596671291</c:v>
                </c:pt>
                <c:pt idx="16">
                  <c:v>8268.6548393378089</c:v>
                </c:pt>
                <c:pt idx="17">
                  <c:v>8500.1771748392675</c:v>
                </c:pt>
                <c:pt idx="18">
                  <c:v>8738.1821357347671</c:v>
                </c:pt>
                <c:pt idx="19">
                  <c:v>8982.8512355353396</c:v>
                </c:pt>
                <c:pt idx="20">
                  <c:v>9234.3710701303298</c:v>
                </c:pt>
                <c:pt idx="21">
                  <c:v>9492.9334600939801</c:v>
                </c:pt>
                <c:pt idx="22">
                  <c:v>9758.7355969766104</c:v>
                </c:pt>
                <c:pt idx="23">
                  <c:v>10031.980193691956</c:v>
                </c:pt>
                <c:pt idx="24">
                  <c:v>10312.875639115329</c:v>
                </c:pt>
                <c:pt idx="25">
                  <c:v>10601.63615701056</c:v>
                </c:pt>
                <c:pt idx="26">
                  <c:v>10898.481969406854</c:v>
                </c:pt>
                <c:pt idx="27">
                  <c:v>11203.639464550246</c:v>
                </c:pt>
                <c:pt idx="28">
                  <c:v>11517.341369557655</c:v>
                </c:pt>
                <c:pt idx="29">
                  <c:v>11839.826927905267</c:v>
                </c:pt>
                <c:pt idx="30">
                  <c:v>12171.342081886616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69-764F-B534-5F5FA35ED0D6}"/>
            </c:ext>
          </c:extLst>
        </c:ser>
        <c:ser>
          <c:idx val="2"/>
          <c:order val="2"/>
          <c:tx>
            <c:strRef>
              <c:f>PROJECTIONS!$M$4</c:f>
              <c:strCache>
                <c:ptCount val="1"/>
                <c:pt idx="0">
                  <c:v>Gross Income</c:v>
                </c:pt>
              </c:strCache>
            </c:strRef>
          </c:tx>
          <c:spPr>
            <a:ln w="34920" cap="rnd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PROJECTIONS!$B$5:$B$35</c:f>
              <c:numCache>
                <c:formatCode>0</c:formatCod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numCache>
            </c:numRef>
          </c:cat>
          <c:val>
            <c:numRef>
              <c:f>PROJECTIONS!$M$5:$M$35</c:f>
              <c:numCache>
                <c:formatCode>\$#,##0;"($"#,##0\);\-</c:formatCode>
                <c:ptCount val="31"/>
                <c:pt idx="0">
                  <c:v>105723.84</c:v>
                </c:pt>
                <c:pt idx="1">
                  <c:v>108366.93599999999</c:v>
                </c:pt>
                <c:pt idx="2">
                  <c:v>6629.64</c:v>
                </c:pt>
                <c:pt idx="3">
                  <c:v>47000</c:v>
                </c:pt>
                <c:pt idx="4">
                  <c:v>47000</c:v>
                </c:pt>
                <c:pt idx="5">
                  <c:v>47000</c:v>
                </c:pt>
                <c:pt idx="6">
                  <c:v>47000</c:v>
                </c:pt>
                <c:pt idx="7">
                  <c:v>220000</c:v>
                </c:pt>
                <c:pt idx="8">
                  <c:v>228800</c:v>
                </c:pt>
                <c:pt idx="9">
                  <c:v>237952.00000000003</c:v>
                </c:pt>
                <c:pt idx="10">
                  <c:v>247470.08000000002</c:v>
                </c:pt>
                <c:pt idx="11">
                  <c:v>257368.88320000004</c:v>
                </c:pt>
                <c:pt idx="12">
                  <c:v>267663.6385280001</c:v>
                </c:pt>
                <c:pt idx="13">
                  <c:v>278370.18406912009</c:v>
                </c:pt>
                <c:pt idx="14">
                  <c:v>289504.99143188488</c:v>
                </c:pt>
                <c:pt idx="15">
                  <c:v>301085.19108916027</c:v>
                </c:pt>
                <c:pt idx="16">
                  <c:v>313128.59873272676</c:v>
                </c:pt>
                <c:pt idx="17">
                  <c:v>325653.74268203584</c:v>
                </c:pt>
                <c:pt idx="18">
                  <c:v>338679.89238931722</c:v>
                </c:pt>
                <c:pt idx="19">
                  <c:v>352227.08808488998</c:v>
                </c:pt>
                <c:pt idx="20">
                  <c:v>366316.17160828557</c:v>
                </c:pt>
                <c:pt idx="21">
                  <c:v>380968.81847261701</c:v>
                </c:pt>
                <c:pt idx="22">
                  <c:v>396207.57121152169</c:v>
                </c:pt>
                <c:pt idx="23">
                  <c:v>412055.8740599826</c:v>
                </c:pt>
                <c:pt idx="24">
                  <c:v>428538.10902238195</c:v>
                </c:pt>
                <c:pt idx="25">
                  <c:v>445679.63338327728</c:v>
                </c:pt>
                <c:pt idx="26">
                  <c:v>463506.81871860835</c:v>
                </c:pt>
                <c:pt idx="27">
                  <c:v>482047.0914673527</c:v>
                </c:pt>
                <c:pt idx="28">
                  <c:v>501328.97512604692</c:v>
                </c:pt>
                <c:pt idx="29">
                  <c:v>521382.13413108874</c:v>
                </c:pt>
                <c:pt idx="30">
                  <c:v>542237.4194963323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469-764F-B534-5F5FA35ED0D6}"/>
            </c:ext>
          </c:extLst>
        </c:ser>
        <c:ser>
          <c:idx val="3"/>
          <c:order val="3"/>
          <c:tx>
            <c:strRef>
              <c:f>PROJECTIONS!$N$4</c:f>
              <c:strCache>
                <c:ptCount val="1"/>
                <c:pt idx="0">
                  <c:v>Tax-Free Income</c:v>
                </c:pt>
              </c:strCache>
            </c:strRef>
          </c:tx>
          <c:spPr>
            <a:ln w="34920" cap="rnd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D9D9D9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PROJECTIONS!$B$5:$B$35</c:f>
              <c:numCache>
                <c:formatCode>0</c:formatCode>
                <c:ptCount val="31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</c:numCache>
            </c:numRef>
          </c:cat>
          <c:val>
            <c:numRef>
              <c:f>PROJECTIONS!$N$5:$N$35</c:f>
              <c:numCache>
                <c:formatCode>\$#,##0;"($"#,##0\);\-</c:formatCode>
                <c:ptCount val="31"/>
                <c:pt idx="0">
                  <c:v>38623.919999999998</c:v>
                </c:pt>
                <c:pt idx="1">
                  <c:v>39589.517999999996</c:v>
                </c:pt>
                <c:pt idx="2">
                  <c:v>6629.64</c:v>
                </c:pt>
                <c:pt idx="3">
                  <c:v>67719.269920000006</c:v>
                </c:pt>
                <c:pt idx="4">
                  <c:v>67910.097477760006</c:v>
                </c:pt>
                <c:pt idx="5">
                  <c:v>7202.2682071372801</c:v>
                </c:pt>
                <c:pt idx="6">
                  <c:v>7403.9317169371243</c:v>
                </c:pt>
                <c:pt idx="7">
                  <c:v>7611.2418050113638</c:v>
                </c:pt>
                <c:pt idx="8">
                  <c:v>7824.356575551682</c:v>
                </c:pt>
                <c:pt idx="9">
                  <c:v>8043.4385596671291</c:v>
                </c:pt>
                <c:pt idx="10">
                  <c:v>8268.6548393378089</c:v>
                </c:pt>
                <c:pt idx="11">
                  <c:v>8500.1771748392675</c:v>
                </c:pt>
                <c:pt idx="12">
                  <c:v>8738.1821357347671</c:v>
                </c:pt>
                <c:pt idx="13">
                  <c:v>8982.8512355353396</c:v>
                </c:pt>
                <c:pt idx="14">
                  <c:v>9234.3710701303298</c:v>
                </c:pt>
                <c:pt idx="15">
                  <c:v>9492.9334600939801</c:v>
                </c:pt>
                <c:pt idx="16">
                  <c:v>9758.7355969766104</c:v>
                </c:pt>
                <c:pt idx="17">
                  <c:v>10031.980193691956</c:v>
                </c:pt>
                <c:pt idx="18">
                  <c:v>10312.875639115329</c:v>
                </c:pt>
                <c:pt idx="19">
                  <c:v>10601.63615701056</c:v>
                </c:pt>
                <c:pt idx="20">
                  <c:v>10898.481969406854</c:v>
                </c:pt>
                <c:pt idx="21">
                  <c:v>11203.639464550246</c:v>
                </c:pt>
                <c:pt idx="22">
                  <c:v>11517.341369557655</c:v>
                </c:pt>
                <c:pt idx="23">
                  <c:v>11839.826927905267</c:v>
                </c:pt>
                <c:pt idx="24">
                  <c:v>12171.342081886616</c:v>
                </c:pt>
                <c:pt idx="25">
                  <c:v>12512.13966017944</c:v>
                </c:pt>
                <c:pt idx="26">
                  <c:v>12862.479570664465</c:v>
                </c:pt>
                <c:pt idx="27">
                  <c:v>13222.628998643071</c:v>
                </c:pt>
                <c:pt idx="28">
                  <c:v>13592.862610605076</c:v>
                </c:pt>
                <c:pt idx="29">
                  <c:v>13973.462763702018</c:v>
                </c:pt>
                <c:pt idx="30">
                  <c:v>14364.719721085678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469-764F-B534-5F5FA35ED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019330"/>
        <c:axId val="41721024"/>
      </c:lineChart>
      <c:catAx>
        <c:axId val="61019330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9360">
            <a:solidFill>
              <a:srgbClr val="F2F2F2">
                <a:alpha val="10000"/>
              </a:srgbClr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41721024"/>
        <c:crosses val="autoZero"/>
        <c:auto val="1"/>
        <c:lblAlgn val="ctr"/>
        <c:lblOffset val="100"/>
        <c:noMultiLvlLbl val="0"/>
      </c:catAx>
      <c:valAx>
        <c:axId val="41721024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>
                  <a:alpha val="10000"/>
                </a:srgbClr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D9D9D9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D9D9D9"/>
                    </a:solidFill>
                    <a:latin typeface="Calibri"/>
                  </a:rPr>
                  <a:t>Total Income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D9D9D9"/>
                </a:solidFill>
                <a:latin typeface="Calibri"/>
              </a:defRPr>
            </a:pPr>
            <a:endParaRPr lang="en-US"/>
          </a:p>
        </c:txPr>
        <c:crossAx val="610193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D9D9D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361800</xdr:rowOff>
    </xdr:from>
    <xdr:to>
      <xdr:col>15</xdr:col>
      <xdr:colOff>68040</xdr:colOff>
      <xdr:row>17</xdr:row>
      <xdr:rowOff>177120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28440</xdr:colOff>
      <xdr:row>20</xdr:row>
      <xdr:rowOff>0</xdr:rowOff>
    </xdr:from>
    <xdr:to>
      <xdr:col>15</xdr:col>
      <xdr:colOff>96480</xdr:colOff>
      <xdr:row>35</xdr:row>
      <xdr:rowOff>186840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15</xdr:col>
      <xdr:colOff>68040</xdr:colOff>
      <xdr:row>53</xdr:row>
      <xdr:rowOff>186840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55</xdr:row>
      <xdr:rowOff>352440</xdr:rowOff>
    </xdr:from>
    <xdr:to>
      <xdr:col>15</xdr:col>
      <xdr:colOff>68040</xdr:colOff>
      <xdr:row>71</xdr:row>
      <xdr:rowOff>167760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73</xdr:row>
      <xdr:rowOff>361800</xdr:rowOff>
    </xdr:from>
    <xdr:to>
      <xdr:col>15</xdr:col>
      <xdr:colOff>59040</xdr:colOff>
      <xdr:row>89</xdr:row>
      <xdr:rowOff>177480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E86"/>
  <sheetViews>
    <sheetView zoomScale="130" zoomScaleNormal="130" workbookViewId="0">
      <selection activeCell="C20" sqref="C20"/>
    </sheetView>
  </sheetViews>
  <sheetFormatPr baseColWidth="10" defaultColWidth="8.6640625" defaultRowHeight="16"/>
  <cols>
    <col min="1" max="1" width="42" customWidth="1"/>
    <col min="2" max="3" width="18" customWidth="1"/>
    <col min="4" max="4" width="60" customWidth="1"/>
    <col min="5" max="5" width="80" customWidth="1"/>
  </cols>
  <sheetData>
    <row r="1" spans="1:4" ht="32.25" customHeight="1">
      <c r="A1" s="4" t="s">
        <v>0</v>
      </c>
    </row>
    <row r="2" spans="1:4" ht="21.75" customHeight="1">
      <c r="A2" s="5" t="s">
        <v>1</v>
      </c>
    </row>
    <row r="4" spans="1:4" ht="15" customHeight="1">
      <c r="A4" s="6" t="s">
        <v>2</v>
      </c>
      <c r="B4" s="6" t="s">
        <v>3</v>
      </c>
      <c r="C4" s="6" t="s">
        <v>4</v>
      </c>
      <c r="D4" s="6" t="s">
        <v>5</v>
      </c>
    </row>
    <row r="6" spans="1:4" ht="15" customHeight="1">
      <c r="A6" s="7" t="s">
        <v>6</v>
      </c>
      <c r="B6" s="7"/>
      <c r="C6" s="7"/>
      <c r="D6" s="7"/>
    </row>
    <row r="7" spans="1:4" ht="15" customHeight="1">
      <c r="A7" s="8" t="s">
        <v>7</v>
      </c>
      <c r="B7" s="9" t="s">
        <v>8</v>
      </c>
      <c r="C7" s="9" t="s">
        <v>8</v>
      </c>
      <c r="D7" s="10" t="s">
        <v>9</v>
      </c>
    </row>
    <row r="8" spans="1:4" ht="15" customHeight="1">
      <c r="A8" s="8" t="s">
        <v>10</v>
      </c>
      <c r="B8" s="11">
        <v>2026</v>
      </c>
      <c r="C8" s="11">
        <v>2026</v>
      </c>
      <c r="D8" s="10" t="s">
        <v>11</v>
      </c>
    </row>
    <row r="9" spans="1:4" ht="15" customHeight="1">
      <c r="A9" s="8" t="s">
        <v>12</v>
      </c>
      <c r="B9" s="11">
        <v>12.1</v>
      </c>
      <c r="C9" s="11">
        <v>12.1</v>
      </c>
      <c r="D9" s="10" t="s">
        <v>13</v>
      </c>
    </row>
    <row r="10" spans="1:4" ht="15" customHeight="1">
      <c r="A10" s="8" t="s">
        <v>14</v>
      </c>
      <c r="B10" s="9" t="s">
        <v>15</v>
      </c>
      <c r="C10" s="9" t="s">
        <v>16</v>
      </c>
      <c r="D10" s="10" t="s">
        <v>17</v>
      </c>
    </row>
    <row r="11" spans="1:4" ht="15" customHeight="1">
      <c r="A11" s="8" t="s">
        <v>18</v>
      </c>
      <c r="B11" s="12" t="s">
        <v>19</v>
      </c>
      <c r="C11" s="12">
        <v>1.67</v>
      </c>
      <c r="D11" s="10" t="s">
        <v>20</v>
      </c>
    </row>
    <row r="12" spans="1:4" ht="15" customHeight="1">
      <c r="A12" s="8" t="s">
        <v>21</v>
      </c>
      <c r="B12" s="11">
        <v>2034</v>
      </c>
      <c r="C12" s="11" t="s">
        <v>19</v>
      </c>
      <c r="D12" s="10" t="s">
        <v>22</v>
      </c>
    </row>
    <row r="13" spans="1:4" ht="15" customHeight="1">
      <c r="A13" s="8" t="s">
        <v>23</v>
      </c>
      <c r="B13" s="11">
        <v>7.9</v>
      </c>
      <c r="C13" s="11" t="s">
        <v>19</v>
      </c>
      <c r="D13" s="10" t="s">
        <v>24</v>
      </c>
    </row>
    <row r="15" spans="1:4" ht="15" customHeight="1">
      <c r="A15" s="7" t="s">
        <v>25</v>
      </c>
      <c r="B15" s="7"/>
      <c r="C15" s="7"/>
      <c r="D15" s="7"/>
    </row>
    <row r="16" spans="1:4" ht="15" customHeight="1">
      <c r="A16" s="8" t="s">
        <v>26</v>
      </c>
      <c r="B16" s="13">
        <f>INCOME!B6</f>
        <v>5591.66</v>
      </c>
      <c r="C16" s="13">
        <f>INCOME!B6</f>
        <v>5591.66</v>
      </c>
      <c r="D16" s="10" t="s">
        <v>27</v>
      </c>
    </row>
    <row r="17" spans="1:5" ht="15" customHeight="1">
      <c r="A17" s="8" t="s">
        <v>28</v>
      </c>
      <c r="B17" s="13">
        <f>INCOME!B7</f>
        <v>2741.66</v>
      </c>
      <c r="C17" s="13">
        <f>INCOME!B7</f>
        <v>2741.66</v>
      </c>
      <c r="D17" s="10" t="s">
        <v>29</v>
      </c>
    </row>
    <row r="18" spans="1:5" ht="15" customHeight="1">
      <c r="A18" s="8" t="s">
        <v>30</v>
      </c>
      <c r="B18" s="13">
        <f>INCOME!B8</f>
        <v>477</v>
      </c>
      <c r="C18" s="13">
        <f>INCOME!B8</f>
        <v>477</v>
      </c>
      <c r="D18" s="10" t="s">
        <v>31</v>
      </c>
    </row>
    <row r="19" spans="1:5" ht="15" customHeight="1">
      <c r="A19" s="8" t="s">
        <v>32</v>
      </c>
      <c r="B19" s="13">
        <v>700</v>
      </c>
      <c r="C19" s="13">
        <v>700</v>
      </c>
      <c r="D19" s="10" t="s">
        <v>33</v>
      </c>
    </row>
    <row r="20" spans="1:5" ht="15" customHeight="1">
      <c r="A20" s="8" t="s">
        <v>34</v>
      </c>
      <c r="B20" s="13">
        <f>INCOME!B97</f>
        <v>8810.32</v>
      </c>
      <c r="C20" s="13">
        <f>INCOME!B97</f>
        <v>8810.32</v>
      </c>
      <c r="D20" s="10" t="s">
        <v>27</v>
      </c>
    </row>
    <row r="21" spans="1:5" ht="15" customHeight="1">
      <c r="A21" s="8" t="s">
        <v>35</v>
      </c>
      <c r="B21" s="13">
        <f>INCOME!B99</f>
        <v>7720.37</v>
      </c>
      <c r="C21" s="13">
        <f>INCOME!B99</f>
        <v>7720.37</v>
      </c>
      <c r="D21" s="10" t="s">
        <v>27</v>
      </c>
    </row>
    <row r="23" spans="1:5" ht="15" customHeight="1">
      <c r="A23" s="7" t="s">
        <v>36</v>
      </c>
      <c r="B23" s="7"/>
      <c r="C23" s="7"/>
      <c r="D23" s="7"/>
    </row>
    <row r="24" spans="1:5" ht="15" customHeight="1">
      <c r="A24" s="8" t="s">
        <v>37</v>
      </c>
      <c r="B24" s="9" t="s">
        <v>38</v>
      </c>
      <c r="C24" s="9" t="s">
        <v>19</v>
      </c>
      <c r="D24" s="10" t="s">
        <v>39</v>
      </c>
    </row>
    <row r="25" spans="1:5" ht="15" customHeight="1">
      <c r="A25" s="8" t="s">
        <v>40</v>
      </c>
      <c r="B25" s="14">
        <v>7266</v>
      </c>
      <c r="C25" s="14">
        <v>0</v>
      </c>
      <c r="D25" s="10" t="s">
        <v>41</v>
      </c>
    </row>
    <row r="26" spans="1:5" ht="15" customHeight="1">
      <c r="A26" s="8" t="s">
        <v>42</v>
      </c>
      <c r="B26" s="15">
        <v>0.5</v>
      </c>
      <c r="C26" s="15">
        <v>0</v>
      </c>
      <c r="D26" s="10" t="s">
        <v>43</v>
      </c>
    </row>
    <row r="27" spans="1:5" ht="15" customHeight="1">
      <c r="A27" s="8" t="s">
        <v>44</v>
      </c>
      <c r="B27" s="14">
        <v>3633</v>
      </c>
      <c r="C27" s="14">
        <v>0</v>
      </c>
      <c r="D27" s="10" t="s">
        <v>45</v>
      </c>
    </row>
    <row r="28" spans="1:5" ht="15" customHeight="1">
      <c r="A28" s="8" t="s">
        <v>46</v>
      </c>
      <c r="B28" s="14">
        <v>43596</v>
      </c>
      <c r="C28" s="14">
        <v>0</v>
      </c>
      <c r="D28" s="10" t="s">
        <v>47</v>
      </c>
    </row>
    <row r="29" spans="1:5" ht="15" customHeight="1">
      <c r="A29" s="8" t="s">
        <v>48</v>
      </c>
      <c r="B29" s="15">
        <v>2.8000000000000001E-2</v>
      </c>
      <c r="C29" s="15">
        <v>0</v>
      </c>
      <c r="D29" s="10" t="s">
        <v>49</v>
      </c>
    </row>
    <row r="30" spans="1:5" ht="15" customHeight="1">
      <c r="A30" s="8" t="s">
        <v>50</v>
      </c>
      <c r="B30" s="11">
        <v>40</v>
      </c>
      <c r="C30" s="11" t="s">
        <v>19</v>
      </c>
      <c r="D30" s="10" t="s">
        <v>51</v>
      </c>
    </row>
    <row r="31" spans="1:5" ht="15" customHeight="1">
      <c r="A31" s="8" t="s">
        <v>52</v>
      </c>
      <c r="B31" s="11">
        <v>82</v>
      </c>
      <c r="C31" s="11">
        <v>82</v>
      </c>
      <c r="D31" s="10" t="s">
        <v>53</v>
      </c>
      <c r="E31" s="16" t="s">
        <v>54</v>
      </c>
    </row>
    <row r="33" spans="1:5" ht="15" customHeight="1">
      <c r="A33" s="7" t="s">
        <v>55</v>
      </c>
      <c r="B33" s="7"/>
      <c r="C33" s="7"/>
      <c r="D33" s="7"/>
    </row>
    <row r="34" spans="1:5" ht="15" customHeight="1">
      <c r="A34" s="8" t="s">
        <v>56</v>
      </c>
      <c r="B34" s="14">
        <v>0</v>
      </c>
      <c r="C34" s="14">
        <v>0</v>
      </c>
      <c r="D34" s="10" t="s">
        <v>57</v>
      </c>
    </row>
    <row r="35" spans="1:5" ht="15" customHeight="1">
      <c r="A35" s="8" t="s">
        <v>58</v>
      </c>
      <c r="B35" s="14">
        <v>182</v>
      </c>
      <c r="C35" s="14" t="s">
        <v>19</v>
      </c>
      <c r="D35" s="10" t="s">
        <v>59</v>
      </c>
      <c r="E35" s="16" t="s">
        <v>60</v>
      </c>
    </row>
    <row r="36" spans="1:5" ht="15" customHeight="1">
      <c r="A36" s="8" t="s">
        <v>61</v>
      </c>
      <c r="B36" s="14" t="s">
        <v>19</v>
      </c>
      <c r="C36" s="14">
        <v>3000</v>
      </c>
      <c r="D36" s="10" t="s">
        <v>62</v>
      </c>
      <c r="E36" s="17" t="s">
        <v>63</v>
      </c>
    </row>
    <row r="37" spans="1:5" ht="15" customHeight="1">
      <c r="A37" s="8" t="s">
        <v>64</v>
      </c>
      <c r="B37" s="15" t="s">
        <v>19</v>
      </c>
      <c r="C37" s="15">
        <v>0.08</v>
      </c>
      <c r="D37" s="10" t="s">
        <v>65</v>
      </c>
    </row>
    <row r="38" spans="1:5" ht="15" customHeight="1">
      <c r="A38" s="8" t="s">
        <v>66</v>
      </c>
      <c r="B38" s="15">
        <v>0.03</v>
      </c>
      <c r="C38" s="15" t="s">
        <v>19</v>
      </c>
      <c r="D38" s="10" t="s">
        <v>67</v>
      </c>
    </row>
    <row r="39" spans="1:5" ht="15" customHeight="1">
      <c r="A39" s="8" t="s">
        <v>68</v>
      </c>
      <c r="B39" s="9" t="s">
        <v>69</v>
      </c>
      <c r="C39" s="9" t="s">
        <v>69</v>
      </c>
      <c r="D39" s="10" t="s">
        <v>70</v>
      </c>
    </row>
    <row r="41" spans="1:5" ht="15" customHeight="1">
      <c r="A41" s="7" t="s">
        <v>71</v>
      </c>
      <c r="B41" s="7"/>
      <c r="C41" s="7"/>
      <c r="D41" s="7"/>
    </row>
    <row r="42" spans="1:5" ht="15" customHeight="1">
      <c r="A42" s="8" t="s">
        <v>72</v>
      </c>
      <c r="B42" s="15">
        <v>0.3</v>
      </c>
      <c r="C42" s="15">
        <v>0.3</v>
      </c>
      <c r="D42" s="10" t="s">
        <v>73</v>
      </c>
      <c r="E42" s="18" t="s">
        <v>74</v>
      </c>
    </row>
    <row r="43" spans="1:5" ht="15" customHeight="1">
      <c r="A43" s="8" t="s">
        <v>75</v>
      </c>
      <c r="B43" s="14">
        <v>552.47</v>
      </c>
      <c r="C43" s="14">
        <v>552.47</v>
      </c>
      <c r="D43" s="10" t="s">
        <v>76</v>
      </c>
    </row>
    <row r="44" spans="1:5" ht="15" customHeight="1">
      <c r="A44" s="8" t="s">
        <v>77</v>
      </c>
      <c r="B44" s="15">
        <v>2.8000000000000001E-2</v>
      </c>
      <c r="C44" s="15">
        <v>2.8000000000000001E-2</v>
      </c>
      <c r="D44" s="10" t="s">
        <v>78</v>
      </c>
    </row>
    <row r="45" spans="1:5" ht="15" customHeight="1">
      <c r="A45" s="8" t="s">
        <v>79</v>
      </c>
      <c r="B45" s="9" t="s">
        <v>80</v>
      </c>
      <c r="C45" s="9" t="s">
        <v>80</v>
      </c>
      <c r="D45" s="10" t="s">
        <v>81</v>
      </c>
    </row>
    <row r="46" spans="1:5" ht="15" customHeight="1">
      <c r="A46" s="8" t="s">
        <v>82</v>
      </c>
      <c r="B46" s="9" t="s">
        <v>83</v>
      </c>
      <c r="C46" s="9" t="s">
        <v>84</v>
      </c>
      <c r="D46" s="10" t="s">
        <v>85</v>
      </c>
    </row>
    <row r="47" spans="1:5" ht="15" customHeight="1">
      <c r="A47" s="8" t="s">
        <v>86</v>
      </c>
      <c r="B47" s="9" t="s">
        <v>87</v>
      </c>
      <c r="C47" s="9" t="s">
        <v>87</v>
      </c>
      <c r="D47" s="10" t="s">
        <v>88</v>
      </c>
    </row>
    <row r="49" spans="1:5" ht="15" customHeight="1">
      <c r="A49" s="7" t="s">
        <v>89</v>
      </c>
      <c r="B49" s="7"/>
      <c r="C49" s="7"/>
      <c r="D49" s="7"/>
    </row>
    <row r="50" spans="1:5" ht="15" customHeight="1">
      <c r="A50" s="8" t="s">
        <v>90</v>
      </c>
      <c r="B50" s="9" t="s">
        <v>91</v>
      </c>
      <c r="C50" s="9" t="s">
        <v>91</v>
      </c>
      <c r="D50" s="10" t="s">
        <v>92</v>
      </c>
    </row>
    <row r="51" spans="1:5" ht="15" customHeight="1">
      <c r="A51" s="8" t="s">
        <v>93</v>
      </c>
      <c r="B51" s="9" t="s">
        <v>94</v>
      </c>
      <c r="C51" s="9" t="s">
        <v>94</v>
      </c>
      <c r="D51" s="10" t="s">
        <v>95</v>
      </c>
    </row>
    <row r="52" spans="1:5" ht="15" customHeight="1">
      <c r="A52" s="8" t="s">
        <v>96</v>
      </c>
      <c r="B52" s="14">
        <v>4992</v>
      </c>
      <c r="C52" s="14">
        <v>4992</v>
      </c>
      <c r="D52" s="10" t="s">
        <v>97</v>
      </c>
      <c r="E52" s="17" t="s">
        <v>98</v>
      </c>
    </row>
    <row r="53" spans="1:5" ht="15" customHeight="1">
      <c r="A53" s="8" t="s">
        <v>99</v>
      </c>
      <c r="B53" s="14">
        <v>1000</v>
      </c>
      <c r="C53" s="14">
        <v>1000</v>
      </c>
      <c r="D53" s="10" t="s">
        <v>100</v>
      </c>
    </row>
    <row r="54" spans="1:5" ht="15" customHeight="1">
      <c r="A54" s="8" t="s">
        <v>101</v>
      </c>
      <c r="B54" s="9" t="s">
        <v>102</v>
      </c>
      <c r="C54" s="9" t="s">
        <v>102</v>
      </c>
      <c r="D54" s="10" t="s">
        <v>103</v>
      </c>
    </row>
    <row r="55" spans="1:5" ht="15" customHeight="1">
      <c r="A55" s="8" t="s">
        <v>104</v>
      </c>
      <c r="B55" s="14">
        <v>275000</v>
      </c>
      <c r="C55" s="14">
        <v>275000</v>
      </c>
      <c r="D55" s="10" t="s">
        <v>105</v>
      </c>
    </row>
    <row r="56" spans="1:5" ht="15" customHeight="1">
      <c r="A56" s="8" t="s">
        <v>106</v>
      </c>
      <c r="B56" s="9" t="s">
        <v>107</v>
      </c>
      <c r="C56" s="9" t="s">
        <v>108</v>
      </c>
      <c r="D56" s="10" t="s">
        <v>109</v>
      </c>
    </row>
    <row r="57" spans="1:5">
      <c r="A57" s="19" t="s">
        <v>110</v>
      </c>
      <c r="B57">
        <f>C43*9</f>
        <v>4972.2300000000005</v>
      </c>
      <c r="C57">
        <f>C43*9</f>
        <v>4972.2300000000005</v>
      </c>
      <c r="D57" t="s">
        <v>111</v>
      </c>
    </row>
    <row r="58" spans="1:5" ht="15" customHeight="1">
      <c r="A58" s="7" t="s">
        <v>112</v>
      </c>
      <c r="B58" s="7"/>
      <c r="C58" s="7"/>
      <c r="D58" s="7"/>
    </row>
    <row r="59" spans="1:5" ht="15" customHeight="1">
      <c r="A59" s="8" t="s">
        <v>113</v>
      </c>
      <c r="B59" s="11">
        <v>2035</v>
      </c>
      <c r="C59" s="11">
        <v>2028</v>
      </c>
      <c r="D59" s="10" t="s">
        <v>114</v>
      </c>
      <c r="E59" s="18" t="s">
        <v>115</v>
      </c>
    </row>
    <row r="60" spans="1:5" ht="15" customHeight="1">
      <c r="A60" s="8" t="s">
        <v>116</v>
      </c>
      <c r="B60" s="11">
        <v>5</v>
      </c>
      <c r="C60" s="11">
        <v>5</v>
      </c>
      <c r="D60" s="10" t="s">
        <v>117</v>
      </c>
    </row>
    <row r="61" spans="1:5" ht="15" customHeight="1">
      <c r="A61" s="8" t="s">
        <v>118</v>
      </c>
      <c r="B61" s="14">
        <v>3917</v>
      </c>
      <c r="C61" s="14">
        <v>3917</v>
      </c>
      <c r="D61" s="10" t="s">
        <v>119</v>
      </c>
    </row>
    <row r="62" spans="1:5" ht="15" customHeight="1">
      <c r="A62" s="8" t="s">
        <v>120</v>
      </c>
      <c r="B62" s="14">
        <v>47000</v>
      </c>
      <c r="C62" s="14">
        <v>47000</v>
      </c>
      <c r="D62" s="10" t="s">
        <v>121</v>
      </c>
      <c r="E62" s="17" t="s">
        <v>122</v>
      </c>
    </row>
    <row r="63" spans="1:5" ht="15" customHeight="1">
      <c r="A63" s="8" t="s">
        <v>123</v>
      </c>
      <c r="B63" s="14">
        <v>4992</v>
      </c>
      <c r="C63" s="14">
        <v>4992</v>
      </c>
      <c r="D63" s="10" t="s">
        <v>124</v>
      </c>
    </row>
    <row r="64" spans="1:5" ht="15" customHeight="1">
      <c r="A64" s="8" t="s">
        <v>125</v>
      </c>
      <c r="B64" s="14">
        <v>220000</v>
      </c>
      <c r="C64" s="14">
        <v>220000</v>
      </c>
      <c r="D64" s="10" t="s">
        <v>126</v>
      </c>
      <c r="E64" s="17" t="s">
        <v>127</v>
      </c>
    </row>
    <row r="65" spans="1:5" ht="15" customHeight="1">
      <c r="A65" s="8" t="s">
        <v>128</v>
      </c>
      <c r="B65" s="20">
        <f>INCOME!C6*12</f>
        <v>117637.79999999999</v>
      </c>
      <c r="C65" s="20">
        <f>INCOME!C6*12</f>
        <v>117637.79999999999</v>
      </c>
      <c r="D65" s="10" t="s">
        <v>129</v>
      </c>
    </row>
    <row r="66" spans="1:5" ht="15" customHeight="1">
      <c r="A66" s="8" t="s">
        <v>130</v>
      </c>
      <c r="B66" s="15">
        <v>0.04</v>
      </c>
      <c r="C66" s="15">
        <v>0.04</v>
      </c>
      <c r="D66" s="10" t="s">
        <v>131</v>
      </c>
    </row>
    <row r="67" spans="1:5" ht="15" customHeight="1">
      <c r="A67" s="8" t="s">
        <v>132</v>
      </c>
      <c r="B67" s="15">
        <v>2.5000000000000001E-2</v>
      </c>
      <c r="C67" s="15" t="s">
        <v>19</v>
      </c>
      <c r="D67" s="10" t="s">
        <v>133</v>
      </c>
      <c r="E67" s="21" t="s">
        <v>134</v>
      </c>
    </row>
    <row r="69" spans="1:5" ht="15" customHeight="1">
      <c r="A69" s="7" t="s">
        <v>135</v>
      </c>
      <c r="B69" s="7"/>
      <c r="C69" s="7"/>
      <c r="D69" s="7"/>
    </row>
    <row r="70" spans="1:5" ht="15" customHeight="1">
      <c r="A70" s="8" t="s">
        <v>136</v>
      </c>
      <c r="B70" s="13">
        <f>ASSETS!B10</f>
        <v>75000</v>
      </c>
      <c r="C70" s="13">
        <f>ASSETS!B10</f>
        <v>75000</v>
      </c>
      <c r="D70" s="10" t="s">
        <v>137</v>
      </c>
    </row>
    <row r="71" spans="1:5" ht="15" customHeight="1">
      <c r="A71" s="8" t="s">
        <v>138</v>
      </c>
      <c r="B71" s="13">
        <f>ASSETS!B19</f>
        <v>30000</v>
      </c>
      <c r="C71" s="13">
        <f>ASSETS!B19</f>
        <v>30000</v>
      </c>
      <c r="D71" s="10" t="s">
        <v>137</v>
      </c>
    </row>
    <row r="72" spans="1:5" ht="15" customHeight="1">
      <c r="A72" s="8" t="s">
        <v>139</v>
      </c>
      <c r="B72" s="13">
        <f>ASSETS!B20</f>
        <v>25000</v>
      </c>
      <c r="C72" s="13">
        <f>ASSETS!B20</f>
        <v>25000</v>
      </c>
      <c r="D72" s="10" t="s">
        <v>137</v>
      </c>
    </row>
    <row r="73" spans="1:5" ht="15" customHeight="1">
      <c r="A73" s="8" t="s">
        <v>140</v>
      </c>
      <c r="B73" s="20">
        <f>ASSETS!B7+ASSETS!B8</f>
        <v>20000</v>
      </c>
      <c r="C73" s="20">
        <f>ASSETS!B7+ASSETS!B8</f>
        <v>20000</v>
      </c>
      <c r="D73" s="10" t="s">
        <v>141</v>
      </c>
    </row>
    <row r="74" spans="1:5" ht="15" customHeight="1">
      <c r="A74" s="8" t="s">
        <v>142</v>
      </c>
      <c r="B74" s="15">
        <v>7.0000000000000007E-2</v>
      </c>
      <c r="C74" s="15">
        <v>7.0000000000000007E-2</v>
      </c>
      <c r="D74" s="10" t="s">
        <v>143</v>
      </c>
    </row>
    <row r="75" spans="1:5" ht="15" customHeight="1">
      <c r="A75" s="8" t="s">
        <v>144</v>
      </c>
      <c r="B75" s="14">
        <v>1900</v>
      </c>
      <c r="C75" s="14">
        <v>1900</v>
      </c>
      <c r="D75" s="10" t="s">
        <v>145</v>
      </c>
      <c r="E75" s="16" t="s">
        <v>146</v>
      </c>
    </row>
    <row r="76" spans="1:5" ht="15" customHeight="1">
      <c r="A76" s="8" t="s">
        <v>147</v>
      </c>
      <c r="B76" s="14">
        <v>500</v>
      </c>
      <c r="C76" s="14">
        <v>500</v>
      </c>
      <c r="D76" s="10" t="s">
        <v>148</v>
      </c>
    </row>
    <row r="77" spans="1:5" ht="15" customHeight="1">
      <c r="A77" s="8" t="s">
        <v>149</v>
      </c>
      <c r="B77" s="14">
        <v>0</v>
      </c>
      <c r="C77" s="14">
        <v>0</v>
      </c>
      <c r="D77" s="10" t="s">
        <v>150</v>
      </c>
      <c r="E77" s="16" t="s">
        <v>151</v>
      </c>
    </row>
    <row r="79" spans="1:5" ht="15" customHeight="1">
      <c r="A79" s="7" t="s">
        <v>152</v>
      </c>
      <c r="B79" s="7"/>
      <c r="C79" s="7"/>
      <c r="D79" s="7"/>
    </row>
    <row r="80" spans="1:5" ht="15" customHeight="1">
      <c r="A80" s="8" t="s">
        <v>153</v>
      </c>
      <c r="B80" s="15">
        <v>2.8000000000000001E-2</v>
      </c>
      <c r="C80" s="15">
        <v>2.8000000000000001E-2</v>
      </c>
      <c r="D80" s="10" t="s">
        <v>154</v>
      </c>
    </row>
    <row r="81" spans="1:4" ht="15" customHeight="1">
      <c r="A81" s="8" t="s">
        <v>155</v>
      </c>
      <c r="B81" s="15">
        <v>0.12</v>
      </c>
      <c r="C81" s="15">
        <v>0.12</v>
      </c>
      <c r="D81" s="10" t="s">
        <v>156</v>
      </c>
    </row>
    <row r="82" spans="1:4" ht="15" customHeight="1">
      <c r="A82" s="8" t="s">
        <v>157</v>
      </c>
      <c r="B82" s="15" t="s">
        <v>19</v>
      </c>
      <c r="C82" s="15">
        <v>0.22</v>
      </c>
      <c r="D82" s="10" t="s">
        <v>158</v>
      </c>
    </row>
    <row r="83" spans="1:4" ht="15" customHeight="1">
      <c r="A83" s="8" t="s">
        <v>159</v>
      </c>
      <c r="B83" s="15">
        <v>0.24</v>
      </c>
      <c r="C83" s="15">
        <v>0.24</v>
      </c>
      <c r="D83" s="10" t="s">
        <v>160</v>
      </c>
    </row>
    <row r="84" spans="1:4" ht="15" customHeight="1">
      <c r="A84" s="8" t="s">
        <v>161</v>
      </c>
      <c r="B84" s="15">
        <v>7.0000000000000007E-2</v>
      </c>
      <c r="C84" s="15">
        <v>7.0000000000000007E-2</v>
      </c>
      <c r="D84" s="10" t="s">
        <v>162</v>
      </c>
    </row>
    <row r="85" spans="1:4" ht="15" customHeight="1">
      <c r="A85" s="8" t="s">
        <v>163</v>
      </c>
      <c r="B85" s="13">
        <f>EXPENSES!B126</f>
        <v>2393.8199999999997</v>
      </c>
      <c r="C85" s="13">
        <f>EXPENSES!B126</f>
        <v>2393.8199999999997</v>
      </c>
      <c r="D85" s="10" t="s">
        <v>164</v>
      </c>
    </row>
    <row r="86" spans="1:4" ht="15" customHeight="1">
      <c r="A86" s="8" t="s">
        <v>165</v>
      </c>
      <c r="B86" s="15">
        <v>0.03</v>
      </c>
      <c r="C86" s="15">
        <v>0.03</v>
      </c>
      <c r="D86" s="10" t="s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Y4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43" sqref="H43"/>
    </sheetView>
  </sheetViews>
  <sheetFormatPr baseColWidth="10" defaultColWidth="8.6640625" defaultRowHeight="16"/>
  <cols>
    <col min="1" max="2" width="7" customWidth="1"/>
    <col min="3" max="3" width="22" customWidth="1"/>
    <col min="4" max="5" width="14" customWidth="1"/>
    <col min="6" max="7" width="12" customWidth="1"/>
    <col min="8" max="10" width="14" customWidth="1"/>
    <col min="11" max="11" width="16" customWidth="1"/>
    <col min="12" max="12" width="22" customWidth="1"/>
    <col min="13" max="14" width="14" customWidth="1"/>
    <col min="15" max="16" width="12" customWidth="1"/>
    <col min="17" max="19" width="14" customWidth="1"/>
    <col min="20" max="20" width="16" customWidth="1"/>
    <col min="21" max="23" width="14" customWidth="1"/>
    <col min="24" max="25" width="16" customWidth="1"/>
  </cols>
  <sheetData>
    <row r="1" spans="1:25" ht="15.75" customHeight="1">
      <c r="A1" s="22" t="s">
        <v>167</v>
      </c>
    </row>
    <row r="2" spans="1:25" ht="15" customHeight="1">
      <c r="A2" s="23" t="s">
        <v>168</v>
      </c>
    </row>
    <row r="3" spans="1:25" ht="15" customHeight="1">
      <c r="C3" s="24" t="s">
        <v>169</v>
      </c>
      <c r="D3" s="25"/>
      <c r="E3" s="25"/>
      <c r="F3" s="25"/>
      <c r="G3" s="25"/>
      <c r="H3" s="25"/>
      <c r="I3" s="25"/>
      <c r="J3" s="25"/>
      <c r="K3" s="25"/>
      <c r="L3" s="26" t="s">
        <v>170</v>
      </c>
      <c r="M3" s="27"/>
      <c r="N3" s="27"/>
      <c r="O3" s="27"/>
      <c r="P3" s="27"/>
      <c r="Q3" s="27"/>
      <c r="R3" s="27"/>
      <c r="S3" s="27"/>
      <c r="T3" s="27"/>
      <c r="U3" s="28" t="s">
        <v>171</v>
      </c>
      <c r="V3" s="29"/>
      <c r="W3" s="29"/>
      <c r="X3" s="29"/>
      <c r="Y3" s="29"/>
    </row>
    <row r="4" spans="1:25" ht="15" customHeight="1">
      <c r="A4" s="30" t="s">
        <v>172</v>
      </c>
      <c r="B4" s="30" t="s">
        <v>173</v>
      </c>
      <c r="C4" s="31" t="s">
        <v>174</v>
      </c>
      <c r="D4" s="31" t="s">
        <v>175</v>
      </c>
      <c r="E4" s="31" t="s">
        <v>176</v>
      </c>
      <c r="F4" s="31" t="s">
        <v>177</v>
      </c>
      <c r="G4" s="31" t="s">
        <v>178</v>
      </c>
      <c r="H4" s="31" t="s">
        <v>179</v>
      </c>
      <c r="I4" s="31" t="s">
        <v>180</v>
      </c>
      <c r="J4" s="31" t="s">
        <v>181</v>
      </c>
      <c r="K4" s="31" t="s">
        <v>182</v>
      </c>
      <c r="L4" s="32" t="s">
        <v>174</v>
      </c>
      <c r="M4" s="32" t="s">
        <v>175</v>
      </c>
      <c r="N4" s="32" t="s">
        <v>176</v>
      </c>
      <c r="O4" s="32" t="s">
        <v>177</v>
      </c>
      <c r="P4" s="32" t="s">
        <v>178</v>
      </c>
      <c r="Q4" s="32" t="s">
        <v>179</v>
      </c>
      <c r="R4" s="32" t="s">
        <v>180</v>
      </c>
      <c r="S4" s="32" t="s">
        <v>181</v>
      </c>
      <c r="T4" s="32" t="s">
        <v>182</v>
      </c>
      <c r="U4" s="33" t="s">
        <v>183</v>
      </c>
      <c r="V4" s="33" t="s">
        <v>184</v>
      </c>
      <c r="W4" s="33" t="s">
        <v>185</v>
      </c>
      <c r="X4" s="33" t="s">
        <v>186</v>
      </c>
      <c r="Y4" s="33" t="s">
        <v>187</v>
      </c>
    </row>
    <row r="5" spans="1:25" ht="15" customHeight="1">
      <c r="A5" s="34">
        <v>0</v>
      </c>
      <c r="B5" s="35">
        <v>2026</v>
      </c>
      <c r="C5" s="36" t="s">
        <v>188</v>
      </c>
      <c r="D5" s="37">
        <f>ASSUMPTIONS!B20*12*(1+ASSUMPTIONS!B67)^0</f>
        <v>105723.84</v>
      </c>
      <c r="E5" s="37">
        <f>(INCOME!B7+INCOME!B8)*12*(1+ASSUMPTIONS!B67)^0</f>
        <v>38623.919999999998</v>
      </c>
      <c r="F5" s="37">
        <f>MAX((D5-E5)*(ASSUMPTIONS!B81+ASSUMPTIONS!B84),0)</f>
        <v>12748.9848</v>
      </c>
      <c r="G5" s="37">
        <v>0</v>
      </c>
      <c r="H5" s="37">
        <f>ASSUMPTIONS!B85*12*(1+ASSUMPTIONS!B86)^0</f>
        <v>28725.839999999997</v>
      </c>
      <c r="I5" s="37">
        <f>ASSUMPTIONS!B75*12</f>
        <v>22800</v>
      </c>
      <c r="J5" s="37">
        <f t="shared" ref="J5:J35" si="0">D5+E5-F5-G5-H5-I5</f>
        <v>80072.935200000007</v>
      </c>
      <c r="K5" s="37">
        <f>ASSUMPTIONS!B70+ASSUMPTIONS!B71+ASSUMPTIONS!B72+ASSUMPTIONS!B73+I5+MAX(J5,0)*0.2</f>
        <v>188814.58704000001</v>
      </c>
      <c r="L5" s="38" t="s">
        <v>188</v>
      </c>
      <c r="M5" s="39">
        <f>ASSUMPTIONS!B20*12*(1+ASSUMPTIONS!B67)^0</f>
        <v>105723.84</v>
      </c>
      <c r="N5" s="39">
        <f>(INCOME!B7+INCOME!B8)*12*(1+ASSUMPTIONS!B67)^0</f>
        <v>38623.919999999998</v>
      </c>
      <c r="O5" s="39">
        <f>MAX((M5-N5)*(ASSUMPTIONS!B81+ASSUMPTIONS!B84),0)</f>
        <v>12748.9848</v>
      </c>
      <c r="P5" s="39">
        <v>0</v>
      </c>
      <c r="Q5" s="39">
        <f>ASSUMPTIONS!B85*12*(1+ASSUMPTIONS!B86)^0</f>
        <v>28725.839999999997</v>
      </c>
      <c r="R5" s="39">
        <f>ASSUMPTIONS!B75*12</f>
        <v>22800</v>
      </c>
      <c r="S5" s="39">
        <f t="shared" ref="S5:S35" si="1">M5+N5-O5-P5-Q5-R5</f>
        <v>80072.935200000007</v>
      </c>
      <c r="T5" s="39">
        <f>ASSUMPTIONS!B70+ASSUMPTIONS!B71+ASSUMPTIONS!B72+ASSUMPTIONS!B73+R5+MAX(S5,0)*0.2</f>
        <v>188814.58704000001</v>
      </c>
      <c r="U5" s="40">
        <f t="shared" ref="U5:U35" si="2">(D5+E5)-(M5+N5)</f>
        <v>0</v>
      </c>
      <c r="V5" s="40">
        <f t="shared" ref="V5:V35" si="3">P5-G5</f>
        <v>0</v>
      </c>
      <c r="W5" s="40">
        <f t="shared" ref="W5:W35" si="4">J5-S5</f>
        <v>0</v>
      </c>
      <c r="X5" s="40">
        <f t="shared" ref="X5:X35" si="5">K5-T5</f>
        <v>0</v>
      </c>
      <c r="Y5" s="40">
        <f>W5</f>
        <v>0</v>
      </c>
    </row>
    <row r="6" spans="1:25" ht="15" customHeight="1">
      <c r="A6" s="34">
        <v>1</v>
      </c>
      <c r="B6" s="35">
        <v>2027</v>
      </c>
      <c r="C6" s="36" t="s">
        <v>188</v>
      </c>
      <c r="D6" s="37">
        <f>ASSUMPTIONS!B20*12*(1+ASSUMPTIONS!B67)^1</f>
        <v>108366.93599999999</v>
      </c>
      <c r="E6" s="37">
        <f>(INCOME!B7+INCOME!B8)*12*(1+ASSUMPTIONS!B67)^1</f>
        <v>39589.517999999996</v>
      </c>
      <c r="F6" s="37">
        <f>MAX((D6-E6)*(ASSUMPTIONS!B81+ASSUMPTIONS!B84),0)</f>
        <v>13067.709419999999</v>
      </c>
      <c r="G6" s="37">
        <v>0</v>
      </c>
      <c r="H6" s="37">
        <f>ASSUMPTIONS!B85*12*(1+ASSUMPTIONS!B86)^1</f>
        <v>29587.615199999997</v>
      </c>
      <c r="I6" s="37">
        <f>ASSUMPTIONS!B75*12</f>
        <v>22800</v>
      </c>
      <c r="J6" s="37">
        <f t="shared" si="0"/>
        <v>82501.129379999969</v>
      </c>
      <c r="K6" s="37">
        <f>K5*(1+ASSUMPTIONS!B74)+I6+MAX(J6,0)*0.2</f>
        <v>241331.83400880001</v>
      </c>
      <c r="L6" s="38" t="s">
        <v>188</v>
      </c>
      <c r="M6" s="39">
        <f>ASSUMPTIONS!B20*12*(1+ASSUMPTIONS!B67)^1</f>
        <v>108366.93599999999</v>
      </c>
      <c r="N6" s="39">
        <f>(INCOME!B7+INCOME!B8)*12*(1+ASSUMPTIONS!B67)^1</f>
        <v>39589.517999999996</v>
      </c>
      <c r="O6" s="39">
        <f>MAX((M6-N6)*(ASSUMPTIONS!B81+ASSUMPTIONS!B84),0)</f>
        <v>13067.709419999999</v>
      </c>
      <c r="P6" s="39">
        <v>0</v>
      </c>
      <c r="Q6" s="39">
        <f>ASSUMPTIONS!B85*12*(1+ASSUMPTIONS!B86)^1</f>
        <v>29587.615199999997</v>
      </c>
      <c r="R6" s="39">
        <f>ASSUMPTIONS!B75*12</f>
        <v>22800</v>
      </c>
      <c r="S6" s="39">
        <f t="shared" si="1"/>
        <v>82501.129379999969</v>
      </c>
      <c r="T6" s="39">
        <f>T5*(1+ASSUMPTIONS!B74)+R6+MAX(S6,0)*0.2</f>
        <v>241331.83400880001</v>
      </c>
      <c r="U6" s="40">
        <f t="shared" si="2"/>
        <v>0</v>
      </c>
      <c r="V6" s="40">
        <f t="shared" si="3"/>
        <v>0</v>
      </c>
      <c r="W6" s="40">
        <f t="shared" si="4"/>
        <v>0</v>
      </c>
      <c r="X6" s="40">
        <f t="shared" si="5"/>
        <v>0</v>
      </c>
      <c r="Y6" s="40">
        <f t="shared" ref="Y6:Y35" si="6">Y5+W6</f>
        <v>0</v>
      </c>
    </row>
    <row r="7" spans="1:25" ht="15" customHeight="1">
      <c r="A7" s="34">
        <v>2</v>
      </c>
      <c r="B7" s="35">
        <v>2028</v>
      </c>
      <c r="C7" s="36" t="s">
        <v>188</v>
      </c>
      <c r="D7" s="37">
        <f>ASSUMPTIONS!B20*12*(1+ASSUMPTIONS!B67)^2</f>
        <v>111076.10939999999</v>
      </c>
      <c r="E7" s="37">
        <f>(INCOME!B7+INCOME!B8)*12*(1+ASSUMPTIONS!B67)^2</f>
        <v>40579.255949999992</v>
      </c>
      <c r="F7" s="37">
        <f>MAX((D7-E7)*(ASSUMPTIONS!B81+ASSUMPTIONS!B84),0)</f>
        <v>13394.4021555</v>
      </c>
      <c r="G7" s="37">
        <v>0</v>
      </c>
      <c r="H7" s="37">
        <f>ASSUMPTIONS!B85*12*(1+ASSUMPTIONS!B86)^2</f>
        <v>30475.243655999995</v>
      </c>
      <c r="I7" s="37">
        <f>ASSUMPTIONS!B75*12</f>
        <v>22800</v>
      </c>
      <c r="J7" s="37">
        <f t="shared" si="0"/>
        <v>84985.719538499994</v>
      </c>
      <c r="K7" s="37">
        <f>K6*(1+ASSUMPTIONS!B74)+I7+MAX(J7,0)*0.2</f>
        <v>298022.20629711606</v>
      </c>
      <c r="L7" s="38" t="s">
        <v>189</v>
      </c>
      <c r="M7" s="39">
        <f>ASSUMPTIONS!C43*12</f>
        <v>6629.64</v>
      </c>
      <c r="N7" s="39">
        <f>ASSUMPTIONS!C43*12</f>
        <v>6629.64</v>
      </c>
      <c r="O7" s="39" t="s">
        <v>190</v>
      </c>
      <c r="P7" s="39">
        <v>2000</v>
      </c>
      <c r="Q7" s="39">
        <f>ASSUMPTIONS!B85*12*(1+ASSUMPTIONS!B86)^2</f>
        <v>30475.243655999995</v>
      </c>
      <c r="R7" s="39">
        <f>ASSUMPTIONS!B77*12</f>
        <v>0</v>
      </c>
      <c r="S7" s="39">
        <f t="shared" si="1"/>
        <v>-19215.963655999993</v>
      </c>
      <c r="T7" s="39">
        <f>T6*(1+ASSUMPTIONS!B74)+R7+MAX(S7,0)*0.2</f>
        <v>258225.06238941604</v>
      </c>
      <c r="U7" s="40">
        <f t="shared" si="2"/>
        <v>138396.08534999998</v>
      </c>
      <c r="V7" s="40">
        <f t="shared" si="3"/>
        <v>2000</v>
      </c>
      <c r="W7" s="40">
        <f t="shared" si="4"/>
        <v>104201.68319449999</v>
      </c>
      <c r="X7" s="40">
        <f t="shared" si="5"/>
        <v>39797.143907700025</v>
      </c>
      <c r="Y7" s="40">
        <f t="shared" si="6"/>
        <v>104201.68319449999</v>
      </c>
    </row>
    <row r="8" spans="1:25" ht="15" customHeight="1">
      <c r="A8" s="34">
        <v>3</v>
      </c>
      <c r="B8" s="35">
        <v>2029</v>
      </c>
      <c r="C8" s="36" t="s">
        <v>188</v>
      </c>
      <c r="D8" s="37">
        <f>ASSUMPTIONS!B20*12*(1+ASSUMPTIONS!B67)^3</f>
        <v>113853.01213499998</v>
      </c>
      <c r="E8" s="37">
        <f>(INCOME!B7+INCOME!B8)*12*(1+ASSUMPTIONS!B67)^3</f>
        <v>41593.737348749994</v>
      </c>
      <c r="F8" s="37">
        <f>MAX((D8-E8)*(ASSUMPTIONS!B81+ASSUMPTIONS!B84),0)</f>
        <v>13729.2622093875</v>
      </c>
      <c r="G8" s="37">
        <v>0</v>
      </c>
      <c r="H8" s="37">
        <f>ASSUMPTIONS!B85*12*(1+ASSUMPTIONS!B86)^3</f>
        <v>31389.500965679996</v>
      </c>
      <c r="I8" s="37">
        <f>ASSUMPTIONS!B75*12</f>
        <v>22800</v>
      </c>
      <c r="J8" s="37">
        <f t="shared" si="0"/>
        <v>87527.986308682477</v>
      </c>
      <c r="K8" s="37">
        <f>K7*(1+ASSUMPTIONS!B74)+I8+MAX(J8,0)*0.2</f>
        <v>359189.3579996507</v>
      </c>
      <c r="L8" s="38" t="s">
        <v>191</v>
      </c>
      <c r="M8" s="39">
        <f>ASSUMPTIONS!B62</f>
        <v>47000</v>
      </c>
      <c r="N8" s="39">
        <f>ASSUMPTIONS!B43*12*(1+ASSUMPTIONS!B44)^1+ASSUMPTIONS!B52*12+ASSUMPTIONS!B53</f>
        <v>67719.269920000006</v>
      </c>
      <c r="O8" s="39">
        <f>MAX((M8-N8)*0.1,0)</f>
        <v>0</v>
      </c>
      <c r="P8" s="39">
        <v>2000</v>
      </c>
      <c r="Q8" s="39">
        <f>ASSUMPTIONS!B85*12*(1+ASSUMPTIONS!B86)^3</f>
        <v>31389.500965679996</v>
      </c>
      <c r="R8" s="39">
        <f>ASSUMPTIONS!B77*12</f>
        <v>0</v>
      </c>
      <c r="S8" s="39">
        <f t="shared" si="1"/>
        <v>81329.76895432001</v>
      </c>
      <c r="T8" s="39">
        <f>T7*(1+ASSUMPTIONS!B74)+R8+MAX(S8,0)*0.2</f>
        <v>292566.77054753917</v>
      </c>
      <c r="U8" s="40">
        <f t="shared" si="2"/>
        <v>40727.479563749963</v>
      </c>
      <c r="V8" s="40">
        <f t="shared" si="3"/>
        <v>2000</v>
      </c>
      <c r="W8" s="40">
        <f t="shared" si="4"/>
        <v>6198.2173543624667</v>
      </c>
      <c r="X8" s="40">
        <f t="shared" si="5"/>
        <v>66622.587452111533</v>
      </c>
      <c r="Y8" s="40">
        <f t="shared" si="6"/>
        <v>110399.90054886245</v>
      </c>
    </row>
    <row r="9" spans="1:25" ht="15" customHeight="1">
      <c r="A9" s="34">
        <v>4</v>
      </c>
      <c r="B9" s="35">
        <v>2030</v>
      </c>
      <c r="C9" s="36" t="s">
        <v>188</v>
      </c>
      <c r="D9" s="37">
        <f>ASSUMPTIONS!B20*12*(1+ASSUMPTIONS!B67)^4</f>
        <v>116699.33743837498</v>
      </c>
      <c r="E9" s="37">
        <f>(INCOME!B7+INCOME!B8)*12*(1+ASSUMPTIONS!B67)^4</f>
        <v>42633.580782468736</v>
      </c>
      <c r="F9" s="37">
        <f>MAX((D9-E9)*(ASSUMPTIONS!B81+ASSUMPTIONS!B84),0)</f>
        <v>14072.493764622186</v>
      </c>
      <c r="G9" s="37">
        <v>0</v>
      </c>
      <c r="H9" s="37">
        <f>ASSUMPTIONS!B85*12*(1+ASSUMPTIONS!B86)^4</f>
        <v>32331.185994650394</v>
      </c>
      <c r="I9" s="37">
        <f>ASSUMPTIONS!B75*12</f>
        <v>22800</v>
      </c>
      <c r="J9" s="37">
        <f t="shared" si="0"/>
        <v>90129.23846157112</v>
      </c>
      <c r="K9" s="37">
        <f>K8*(1+ASSUMPTIONS!B74)+I9+MAX(J9,0)*0.2</f>
        <v>425158.4607519405</v>
      </c>
      <c r="L9" s="38" t="s">
        <v>191</v>
      </c>
      <c r="M9" s="39">
        <f>ASSUMPTIONS!B62</f>
        <v>47000</v>
      </c>
      <c r="N9" s="39">
        <f>ASSUMPTIONS!B43*12*(1+ASSUMPTIONS!B44)^2+ASSUMPTIONS!B52*12+ASSUMPTIONS!B53</f>
        <v>67910.097477760006</v>
      </c>
      <c r="O9" s="39">
        <f>MAX((M9-N9)*0.1,0)</f>
        <v>0</v>
      </c>
      <c r="P9" s="39">
        <v>2000</v>
      </c>
      <c r="Q9" s="39">
        <f>ASSUMPTIONS!B85*12*(1+ASSUMPTIONS!B86)^4</f>
        <v>32331.185994650394</v>
      </c>
      <c r="R9" s="39">
        <f>ASSUMPTIONS!B77*12</f>
        <v>0</v>
      </c>
      <c r="S9" s="39">
        <f t="shared" si="1"/>
        <v>80578.911483109609</v>
      </c>
      <c r="T9" s="39">
        <f>T8*(1+ASSUMPTIONS!B74)+R9+MAX(S9,0)*0.2</f>
        <v>329162.22678248887</v>
      </c>
      <c r="U9" s="40">
        <f t="shared" si="2"/>
        <v>44422.820743083706</v>
      </c>
      <c r="V9" s="40">
        <f t="shared" si="3"/>
        <v>2000</v>
      </c>
      <c r="W9" s="40">
        <f t="shared" si="4"/>
        <v>9550.3269784615113</v>
      </c>
      <c r="X9" s="40">
        <f t="shared" si="5"/>
        <v>95996.233969451627</v>
      </c>
      <c r="Y9" s="40">
        <f t="shared" si="6"/>
        <v>119950.22752732396</v>
      </c>
    </row>
    <row r="10" spans="1:25" ht="15" customHeight="1">
      <c r="A10" s="34">
        <v>5</v>
      </c>
      <c r="B10" s="35">
        <v>2031</v>
      </c>
      <c r="C10" s="36" t="s">
        <v>188</v>
      </c>
      <c r="D10" s="37">
        <f>ASSUMPTIONS!B20*12*(1+ASSUMPTIONS!B67)^5</f>
        <v>119616.82087433433</v>
      </c>
      <c r="E10" s="37">
        <f>(INCOME!B7+INCOME!B8)*12*(1+ASSUMPTIONS!B67)^5</f>
        <v>43699.420302030456</v>
      </c>
      <c r="F10" s="37">
        <f>MAX((D10-E10)*(ASSUMPTIONS!B81+ASSUMPTIONS!B84),0)</f>
        <v>14424.306108737735</v>
      </c>
      <c r="G10" s="37">
        <v>0</v>
      </c>
      <c r="H10" s="37">
        <f>ASSUMPTIONS!B85*12*(1+ASSUMPTIONS!B86)^5</f>
        <v>33301.121574489902</v>
      </c>
      <c r="I10" s="37">
        <f>ASSUMPTIONS!B75*12</f>
        <v>22800</v>
      </c>
      <c r="J10" s="37">
        <f t="shared" si="0"/>
        <v>92790.813493137131</v>
      </c>
      <c r="K10" s="37">
        <f>K9*(1+ASSUMPTIONS!B74)+I10+MAX(J10,0)*0.2</f>
        <v>496277.71570320381</v>
      </c>
      <c r="L10" s="38" t="s">
        <v>191</v>
      </c>
      <c r="M10" s="39">
        <f>ASSUMPTIONS!B62</f>
        <v>47000</v>
      </c>
      <c r="N10" s="39">
        <f>ASSUMPTIONS!B43*12*(1+ASSUMPTIONS!B44)^3</f>
        <v>7202.2682071372801</v>
      </c>
      <c r="O10" s="39">
        <f>MAX((M10-N10)*0.1,0)</f>
        <v>3979.7731792862719</v>
      </c>
      <c r="P10" s="39">
        <v>2000</v>
      </c>
      <c r="Q10" s="39">
        <f>ASSUMPTIONS!B85*12*(1+ASSUMPTIONS!B86)^5</f>
        <v>33301.121574489902</v>
      </c>
      <c r="R10" s="39">
        <f>ASSUMPTIONS!B77*12</f>
        <v>0</v>
      </c>
      <c r="S10" s="39">
        <f t="shared" si="1"/>
        <v>14921.373453361113</v>
      </c>
      <c r="T10" s="39">
        <f>T9*(1+ASSUMPTIONS!B74)+R10+MAX(S10,0)*0.2</f>
        <v>355187.85734793532</v>
      </c>
      <c r="U10" s="40">
        <f t="shared" si="2"/>
        <v>109113.97296922749</v>
      </c>
      <c r="V10" s="40">
        <f t="shared" si="3"/>
        <v>2000</v>
      </c>
      <c r="W10" s="40">
        <f t="shared" si="4"/>
        <v>77869.440039776018</v>
      </c>
      <c r="X10" s="40">
        <f t="shared" si="5"/>
        <v>141089.85835526849</v>
      </c>
      <c r="Y10" s="40">
        <f t="shared" si="6"/>
        <v>197819.66756709997</v>
      </c>
    </row>
    <row r="11" spans="1:25" ht="15" customHeight="1">
      <c r="A11" s="34">
        <v>6</v>
      </c>
      <c r="B11" s="35">
        <v>2032</v>
      </c>
      <c r="C11" s="36" t="s">
        <v>188</v>
      </c>
      <c r="D11" s="37">
        <f>ASSUMPTIONS!B20*12*(1+ASSUMPTIONS!B67)^6</f>
        <v>122607.24139619268</v>
      </c>
      <c r="E11" s="37">
        <f>(INCOME!B7+INCOME!B8)*12*(1+ASSUMPTIONS!B67)^6</f>
        <v>44791.905809581214</v>
      </c>
      <c r="F11" s="37">
        <f>MAX((D11-E11)*(ASSUMPTIONS!B81+ASSUMPTIONS!B84),0)</f>
        <v>14784.913761456181</v>
      </c>
      <c r="G11" s="37">
        <v>0</v>
      </c>
      <c r="H11" s="37">
        <f>ASSUMPTIONS!B85*12*(1+ASSUMPTIONS!B86)^6</f>
        <v>34300.155221724606</v>
      </c>
      <c r="I11" s="37">
        <f>ASSUMPTIONS!B75*12</f>
        <v>22800</v>
      </c>
      <c r="J11" s="37">
        <f t="shared" si="0"/>
        <v>95514.078222593103</v>
      </c>
      <c r="K11" s="37">
        <f>K10*(1+ASSUMPTIONS!B74)+I11+MAX(J11,0)*0.2</f>
        <v>572919.97144694673</v>
      </c>
      <c r="L11" s="38" t="s">
        <v>191</v>
      </c>
      <c r="M11" s="39">
        <f>ASSUMPTIONS!B62</f>
        <v>47000</v>
      </c>
      <c r="N11" s="39">
        <f>ASSUMPTIONS!B43*12*(1+ASSUMPTIONS!B44)^4</f>
        <v>7403.9317169371243</v>
      </c>
      <c r="O11" s="39">
        <f>MAX((M11-N11)*0.1,0)</f>
        <v>3959.6068283062882</v>
      </c>
      <c r="P11" s="39">
        <v>2000</v>
      </c>
      <c r="Q11" s="39">
        <f>ASSUMPTIONS!B85*12*(1+ASSUMPTIONS!B86)^6</f>
        <v>34300.155221724606</v>
      </c>
      <c r="R11" s="39">
        <f>ASSUMPTIONS!B77*12</f>
        <v>0</v>
      </c>
      <c r="S11" s="39">
        <f t="shared" si="1"/>
        <v>14144.169666906229</v>
      </c>
      <c r="T11" s="39">
        <f>T10*(1+ASSUMPTIONS!B74)+R11+MAX(S11,0)*0.2</f>
        <v>382879.84129567206</v>
      </c>
      <c r="U11" s="40">
        <f t="shared" si="2"/>
        <v>112995.21548883677</v>
      </c>
      <c r="V11" s="40">
        <f t="shared" si="3"/>
        <v>2000</v>
      </c>
      <c r="W11" s="40">
        <f t="shared" si="4"/>
        <v>81369.908555686881</v>
      </c>
      <c r="X11" s="40">
        <f t="shared" si="5"/>
        <v>190040.13015127467</v>
      </c>
      <c r="Y11" s="40">
        <f t="shared" si="6"/>
        <v>279189.57612278685</v>
      </c>
    </row>
    <row r="12" spans="1:25" ht="15" customHeight="1">
      <c r="A12" s="34">
        <v>7</v>
      </c>
      <c r="B12" s="35">
        <v>2033</v>
      </c>
      <c r="C12" s="36" t="s">
        <v>188</v>
      </c>
      <c r="D12" s="37">
        <f>ASSUMPTIONS!B20*12*(1+ASSUMPTIONS!B67)^7</f>
        <v>125672.42243109751</v>
      </c>
      <c r="E12" s="37">
        <f>(INCOME!B7+INCOME!B8)*12*(1+ASSUMPTIONS!B67)^7</f>
        <v>45911.703454820745</v>
      </c>
      <c r="F12" s="37">
        <f>MAX((D12-E12)*(ASSUMPTIONS!B81+ASSUMPTIONS!B84),0)</f>
        <v>15154.536605492585</v>
      </c>
      <c r="G12" s="37">
        <v>0</v>
      </c>
      <c r="H12" s="37">
        <f>ASSUMPTIONS!B85*12*(1+ASSUMPTIONS!B86)^7</f>
        <v>35329.15987837634</v>
      </c>
      <c r="I12" s="37">
        <f>ASSUMPTIONS!B75*12</f>
        <v>22800</v>
      </c>
      <c r="J12" s="37">
        <f t="shared" si="0"/>
        <v>98300.42940204934</v>
      </c>
      <c r="K12" s="37">
        <f>K11*(1+ASSUMPTIONS!B74)+I12+MAX(J12,0)*0.2</f>
        <v>655484.45532864286</v>
      </c>
      <c r="L12" s="38" t="s">
        <v>192</v>
      </c>
      <c r="M12" s="39">
        <f>ASSUMPTIONS!B64*(1+ASSUMPTIONS!B66)^0</f>
        <v>220000</v>
      </c>
      <c r="N12" s="39">
        <f>ASSUMPTIONS!B43*12*(1+ASSUMPTIONS!B44)^5</f>
        <v>7611.2418050113638</v>
      </c>
      <c r="O12" s="39">
        <f>MAX((M12-N12)*(ASSUMPTIONS!B83+ASSUMPTIONS!B84),0)</f>
        <v>65840.515040446466</v>
      </c>
      <c r="P12" s="39">
        <f>ASSUMPTIONS!C36*(1+ASSUMPTIONS!C37)^0</f>
        <v>3000</v>
      </c>
      <c r="Q12" s="39">
        <f>ASSUMPTIONS!B85*12*(1+ASSUMPTIONS!B86)^7</f>
        <v>35329.15987837634</v>
      </c>
      <c r="R12" s="39">
        <f>ASSUMPTIONS!B76*12</f>
        <v>6000</v>
      </c>
      <c r="S12" s="39">
        <f t="shared" si="1"/>
        <v>117441.56688618858</v>
      </c>
      <c r="T12" s="39">
        <f>T11*(1+ASSUMPTIONS!B74)+R12+MAX(S12,0)*0.2</f>
        <v>439169.74356360681</v>
      </c>
      <c r="U12" s="40">
        <f t="shared" si="2"/>
        <v>-56027.115919093107</v>
      </c>
      <c r="V12" s="40">
        <f t="shared" si="3"/>
        <v>3000</v>
      </c>
      <c r="W12" s="40">
        <f t="shared" si="4"/>
        <v>-19141.137484139239</v>
      </c>
      <c r="X12" s="40">
        <f t="shared" si="5"/>
        <v>216314.71176503605</v>
      </c>
      <c r="Y12" s="40">
        <f t="shared" si="6"/>
        <v>260048.43863864761</v>
      </c>
    </row>
    <row r="13" spans="1:25" ht="15" customHeight="1">
      <c r="A13" s="34">
        <v>8</v>
      </c>
      <c r="B13" s="35">
        <v>2034</v>
      </c>
      <c r="C13" s="36" t="s">
        <v>193</v>
      </c>
      <c r="D13" s="37">
        <f>ASSUMPTIONS!B20*12*(1+ASSUMPTIONS!B67)^8*0.75+ASSUMPTIONS!B28*0.25</f>
        <v>107509.6747439062</v>
      </c>
      <c r="E13" s="37">
        <f>(INCOME!B7+INCOME!B8)*12*(1+ASSUMPTIONS!B67)^8*0.75+ASSUMPTIONS!B43*12*0.25</f>
        <v>36952.032030893446</v>
      </c>
      <c r="F13" s="37">
        <f>MAX((D13-E13)*(ASSUMPTIONS!B81+ASSUMPTIONS!B84),0)</f>
        <v>13405.952115472424</v>
      </c>
      <c r="G13" s="37">
        <f>ASSUMPTIONS!B35*0.25</f>
        <v>45.5</v>
      </c>
      <c r="H13" s="37">
        <f>ASSUMPTIONS!B85*12*(1+ASSUMPTIONS!B86)^8</f>
        <v>36389.034674727627</v>
      </c>
      <c r="I13" s="37">
        <f>ASSUMPTIONS!B77*12</f>
        <v>0</v>
      </c>
      <c r="J13" s="37">
        <f t="shared" si="0"/>
        <v>94621.219984599593</v>
      </c>
      <c r="K13" s="37">
        <f>K12*(1+ASSUMPTIONS!B74)+I13+MAX(J13,0)*0.2</f>
        <v>720292.6111985679</v>
      </c>
      <c r="L13" s="38" t="s">
        <v>192</v>
      </c>
      <c r="M13" s="39">
        <f>ASSUMPTIONS!B64*(1+ASSUMPTIONS!B66)^1</f>
        <v>228800</v>
      </c>
      <c r="N13" s="39">
        <f>ASSUMPTIONS!B43*12*(1+ASSUMPTIONS!B44)^6</f>
        <v>7824.356575551682</v>
      </c>
      <c r="O13" s="39">
        <f>MAX((M13-N13)*(ASSUMPTIONS!B83+ASSUMPTIONS!B84),0)</f>
        <v>68502.449461578974</v>
      </c>
      <c r="P13" s="39">
        <f>ASSUMPTIONS!C36*(1+ASSUMPTIONS!C37)^1</f>
        <v>3240</v>
      </c>
      <c r="Q13" s="39">
        <f>ASSUMPTIONS!B85*12*(1+ASSUMPTIONS!B86)^8</f>
        <v>36389.034674727627</v>
      </c>
      <c r="R13" s="39">
        <f>ASSUMPTIONS!B76*12</f>
        <v>6000</v>
      </c>
      <c r="S13" s="39">
        <f t="shared" si="1"/>
        <v>122492.87243924508</v>
      </c>
      <c r="T13" s="39">
        <f>T12*(1+ASSUMPTIONS!B74)+R13+MAX(S13,0)*0.2</f>
        <v>500410.20010090835</v>
      </c>
      <c r="U13" s="40">
        <f t="shared" si="2"/>
        <v>-92162.649800752028</v>
      </c>
      <c r="V13" s="40">
        <f t="shared" si="3"/>
        <v>3194.5</v>
      </c>
      <c r="W13" s="40">
        <f t="shared" si="4"/>
        <v>-27871.652454645489</v>
      </c>
      <c r="X13" s="40">
        <f t="shared" si="5"/>
        <v>219882.41109765955</v>
      </c>
      <c r="Y13" s="40">
        <f t="shared" si="6"/>
        <v>232176.78618400212</v>
      </c>
    </row>
    <row r="14" spans="1:25" ht="15" customHeight="1">
      <c r="A14" s="34">
        <v>9</v>
      </c>
      <c r="B14" s="35">
        <v>2035</v>
      </c>
      <c r="C14" s="36" t="s">
        <v>194</v>
      </c>
      <c r="D14" s="37">
        <f>ASSUMPTIONS!B28*(1+ASSUMPTIONS!B29)^1+ASSUMPTIONS!B62</f>
        <v>91816.687999999995</v>
      </c>
      <c r="E14" s="37">
        <f>ASSUMPTIONS!B43*12*(1+ASSUMPTIONS!B44)^1+ASSUMPTIONS!B52*12+ASSUMPTIONS!B53</f>
        <v>67719.269920000006</v>
      </c>
      <c r="F14" s="37">
        <f>MAX((D14-E14)*(ASSUMPTIONS!B81+ASSUMPTIONS!B84),0)</f>
        <v>4578.5094351999978</v>
      </c>
      <c r="G14" s="37">
        <f>ASSUMPTIONS!B35*(1+ASSUMPTIONS!B38)^1</f>
        <v>187.46</v>
      </c>
      <c r="H14" s="37">
        <f>ASSUMPTIONS!B85*12*(1+ASSUMPTIONS!B86)^9</f>
        <v>37480.705714969459</v>
      </c>
      <c r="I14" s="37">
        <f>ASSUMPTIONS!B77*12</f>
        <v>0</v>
      </c>
      <c r="J14" s="37">
        <f t="shared" si="0"/>
        <v>117289.28276983058</v>
      </c>
      <c r="K14" s="37">
        <f>K13*(1+ASSUMPTIONS!B74)+I14+MAX(J14,0)*0.2</f>
        <v>794170.95053643372</v>
      </c>
      <c r="L14" s="38" t="s">
        <v>192</v>
      </c>
      <c r="M14" s="39">
        <f>ASSUMPTIONS!B64*(1+ASSUMPTIONS!B66)^2</f>
        <v>237952.00000000003</v>
      </c>
      <c r="N14" s="39">
        <f>ASSUMPTIONS!B43*12*(1+ASSUMPTIONS!B44)^7</f>
        <v>8043.4385596671291</v>
      </c>
      <c r="O14" s="39">
        <f>MAX((M14-N14)*(ASSUMPTIONS!B83+ASSUMPTIONS!B84),0)</f>
        <v>71271.654046503201</v>
      </c>
      <c r="P14" s="39">
        <f>ASSUMPTIONS!C36*(1+ASSUMPTIONS!C37)^2</f>
        <v>3499.2000000000003</v>
      </c>
      <c r="Q14" s="39">
        <f>ASSUMPTIONS!B85*12*(1+ASSUMPTIONS!B86)^9</f>
        <v>37480.705714969459</v>
      </c>
      <c r="R14" s="39">
        <f>ASSUMPTIONS!B76*12</f>
        <v>6000</v>
      </c>
      <c r="S14" s="39">
        <f t="shared" si="1"/>
        <v>127743.87879819449</v>
      </c>
      <c r="T14" s="39">
        <f>T13*(1+ASSUMPTIONS!B74)+R14+MAX(S14,0)*0.2</f>
        <v>566987.68986761081</v>
      </c>
      <c r="U14" s="40">
        <f t="shared" si="2"/>
        <v>-86459.480639667134</v>
      </c>
      <c r="V14" s="40">
        <f t="shared" si="3"/>
        <v>3311.7400000000002</v>
      </c>
      <c r="W14" s="40">
        <f t="shared" si="4"/>
        <v>-10454.596028363914</v>
      </c>
      <c r="X14" s="40">
        <f t="shared" si="5"/>
        <v>227183.26066882291</v>
      </c>
      <c r="Y14" s="40">
        <f t="shared" si="6"/>
        <v>221722.19015563821</v>
      </c>
    </row>
    <row r="15" spans="1:25" ht="15" customHeight="1">
      <c r="A15" s="34">
        <v>10</v>
      </c>
      <c r="B15" s="35">
        <v>2036</v>
      </c>
      <c r="C15" s="36" t="s">
        <v>194</v>
      </c>
      <c r="D15" s="37">
        <f>ASSUMPTIONS!B28*(1+ASSUMPTIONS!B29)^2+ASSUMPTIONS!B62</f>
        <v>93071.555263999995</v>
      </c>
      <c r="E15" s="37">
        <f>ASSUMPTIONS!B43*12*(1+ASSUMPTIONS!B44)^2+ASSUMPTIONS!B52*12+ASSUMPTIONS!B53</f>
        <v>67910.097477760006</v>
      </c>
      <c r="F15" s="37">
        <f>MAX((D15-E15)*(ASSUMPTIONS!B81+ASSUMPTIONS!B84),0)</f>
        <v>4780.6769793855983</v>
      </c>
      <c r="G15" s="37">
        <f>ASSUMPTIONS!B35*(1+ASSUMPTIONS!B38)^2</f>
        <v>193.0838</v>
      </c>
      <c r="H15" s="37">
        <f>ASSUMPTIONS!B85*12*(1+ASSUMPTIONS!B86)^10</f>
        <v>38605.12688641854</v>
      </c>
      <c r="I15" s="37">
        <f>ASSUMPTIONS!B77*12</f>
        <v>0</v>
      </c>
      <c r="J15" s="37">
        <f t="shared" si="0"/>
        <v>117402.76507595587</v>
      </c>
      <c r="K15" s="37">
        <f>K14*(1+ASSUMPTIONS!B74)+I15+MAX(J15,0)*0.2</f>
        <v>873243.47008917539</v>
      </c>
      <c r="L15" s="38" t="s">
        <v>192</v>
      </c>
      <c r="M15" s="39">
        <f>ASSUMPTIONS!B64*(1+ASSUMPTIONS!B66)^3</f>
        <v>247470.08000000002</v>
      </c>
      <c r="N15" s="39">
        <f>ASSUMPTIONS!B43*12*(1+ASSUMPTIONS!B44)^8</f>
        <v>8268.6548393378089</v>
      </c>
      <c r="O15" s="39">
        <f>MAX((M15-N15)*(ASSUMPTIONS!B83+ASSUMPTIONS!B84),0)</f>
        <v>74152.441799805281</v>
      </c>
      <c r="P15" s="39">
        <f>ASSUMPTIONS!C36*(1+ASSUMPTIONS!C37)^3</f>
        <v>3779.1360000000004</v>
      </c>
      <c r="Q15" s="39">
        <f>ASSUMPTIONS!B85*12*(1+ASSUMPTIONS!B86)^10</f>
        <v>38605.12688641854</v>
      </c>
      <c r="R15" s="39">
        <f>ASSUMPTIONS!B76*12</f>
        <v>6000</v>
      </c>
      <c r="S15" s="39">
        <f t="shared" si="1"/>
        <v>133202.030153114</v>
      </c>
      <c r="T15" s="39">
        <f>T14*(1+ASSUMPTIONS!B74)+R15+MAX(S15,0)*0.2</f>
        <v>639317.23418896634</v>
      </c>
      <c r="U15" s="40">
        <f t="shared" si="2"/>
        <v>-94757.082097577804</v>
      </c>
      <c r="V15" s="40">
        <f t="shared" si="3"/>
        <v>3586.0522000000005</v>
      </c>
      <c r="W15" s="40">
        <f t="shared" si="4"/>
        <v>-15799.265077158125</v>
      </c>
      <c r="X15" s="40">
        <f t="shared" si="5"/>
        <v>233926.23590020905</v>
      </c>
      <c r="Y15" s="40">
        <f t="shared" si="6"/>
        <v>205922.9250784801</v>
      </c>
    </row>
    <row r="16" spans="1:25" ht="15" customHeight="1">
      <c r="A16" s="34">
        <v>11</v>
      </c>
      <c r="B16" s="35">
        <v>2037</v>
      </c>
      <c r="C16" s="36" t="s">
        <v>194</v>
      </c>
      <c r="D16" s="37">
        <f>ASSUMPTIONS!B28*(1+ASSUMPTIONS!B29)^3+ASSUMPTIONS!B62</f>
        <v>94361.558811391995</v>
      </c>
      <c r="E16" s="37">
        <f>ASSUMPTIONS!B43*12*(1+ASSUMPTIONS!B44)^3+ASSUMPTIONS!B52*12+ASSUMPTIONS!B53</f>
        <v>68106.268207137284</v>
      </c>
      <c r="F16" s="37">
        <f>MAX((D16-E16)*(ASSUMPTIONS!B81+ASSUMPTIONS!B84),0)</f>
        <v>4988.5052148083951</v>
      </c>
      <c r="G16" s="37">
        <f>ASSUMPTIONS!B35*(1+ASSUMPTIONS!B38)^3</f>
        <v>198.87631400000001</v>
      </c>
      <c r="H16" s="37">
        <f>ASSUMPTIONS!B85*12*(1+ASSUMPTIONS!B86)^11</f>
        <v>39763.280693011104</v>
      </c>
      <c r="I16" s="37">
        <f>ASSUMPTIONS!B77*12</f>
        <v>0</v>
      </c>
      <c r="J16" s="37">
        <f t="shared" si="0"/>
        <v>117517.16479670981</v>
      </c>
      <c r="K16" s="37">
        <f>K15*(1+ASSUMPTIONS!B74)+I16+MAX(J16,0)*0.2</f>
        <v>957873.94595475961</v>
      </c>
      <c r="L16" s="38" t="s">
        <v>192</v>
      </c>
      <c r="M16" s="39">
        <f>ASSUMPTIONS!B64*(1+ASSUMPTIONS!B66)^4</f>
        <v>257368.88320000004</v>
      </c>
      <c r="N16" s="39">
        <f>ASSUMPTIONS!B43*12*(1+ASSUMPTIONS!B44)^9</f>
        <v>8500.1771748392675</v>
      </c>
      <c r="O16" s="39">
        <f>MAX((M16-N16)*(ASSUMPTIONS!B83+ASSUMPTIONS!B84),0)</f>
        <v>77149.298867799836</v>
      </c>
      <c r="P16" s="39">
        <f>ASSUMPTIONS!C36*(1+ASSUMPTIONS!C37)^4</f>
        <v>4081.4668800000009</v>
      </c>
      <c r="Q16" s="39">
        <f>ASSUMPTIONS!B85*12*(1+ASSUMPTIONS!B86)^11</f>
        <v>39763.280693011104</v>
      </c>
      <c r="R16" s="39">
        <f>ASSUMPTIONS!B76*12</f>
        <v>6000</v>
      </c>
      <c r="S16" s="39">
        <f t="shared" si="1"/>
        <v>138875.01393402836</v>
      </c>
      <c r="T16" s="39">
        <f>T15*(1+ASSUMPTIONS!B74)+R16+MAX(S16,0)*0.2</f>
        <v>717844.44336899964</v>
      </c>
      <c r="U16" s="40">
        <f t="shared" si="2"/>
        <v>-103401.23335631</v>
      </c>
      <c r="V16" s="40">
        <f t="shared" si="3"/>
        <v>3882.5905660000008</v>
      </c>
      <c r="W16" s="40">
        <f t="shared" si="4"/>
        <v>-21357.849137318553</v>
      </c>
      <c r="X16" s="40">
        <f t="shared" si="5"/>
        <v>240029.50258575997</v>
      </c>
      <c r="Y16" s="40">
        <f t="shared" si="6"/>
        <v>184565.07594116154</v>
      </c>
    </row>
    <row r="17" spans="1:25" ht="15" customHeight="1">
      <c r="A17" s="34">
        <v>12</v>
      </c>
      <c r="B17" s="35">
        <v>2038</v>
      </c>
      <c r="C17" s="36" t="s">
        <v>194</v>
      </c>
      <c r="D17" s="37">
        <f>ASSUMPTIONS!B28*(1+ASSUMPTIONS!B29)^4+ASSUMPTIONS!B62</f>
        <v>95687.682458110969</v>
      </c>
      <c r="E17" s="37">
        <f>ASSUMPTIONS!B43*12*(1+ASSUMPTIONS!B44)^4</f>
        <v>7403.9317169371243</v>
      </c>
      <c r="F17" s="37">
        <f>MAX((D17-E17)*(ASSUMPTIONS!B81+ASSUMPTIONS!B84),0)</f>
        <v>16773.91264082303</v>
      </c>
      <c r="G17" s="37">
        <f>ASSUMPTIONS!B35*(1+ASSUMPTIONS!B38)^4</f>
        <v>204.84260341999999</v>
      </c>
      <c r="H17" s="37">
        <f>ASSUMPTIONS!B85*12*(1+ASSUMPTIONS!B86)^12</f>
        <v>40956.179113801431</v>
      </c>
      <c r="I17" s="37">
        <f>ASSUMPTIONS!B77*12</f>
        <v>0</v>
      </c>
      <c r="J17" s="37">
        <f t="shared" si="0"/>
        <v>45156.679817003627</v>
      </c>
      <c r="K17" s="37">
        <f>K16*(1+ASSUMPTIONS!B74)+I17+MAX(J17,0)*0.2</f>
        <v>1033956.4581349936</v>
      </c>
      <c r="L17" s="38" t="s">
        <v>192</v>
      </c>
      <c r="M17" s="39">
        <f>ASSUMPTIONS!B64*(1+ASSUMPTIONS!B66)^5</f>
        <v>267663.6385280001</v>
      </c>
      <c r="N17" s="39">
        <f>ASSUMPTIONS!B43*12*(1+ASSUMPTIONS!B44)^10</f>
        <v>8738.1821357347671</v>
      </c>
      <c r="O17" s="39">
        <f>MAX((M17-N17)*(ASSUMPTIONS!B83+ASSUMPTIONS!B84),0)</f>
        <v>80266.891481602259</v>
      </c>
      <c r="P17" s="39">
        <f>ASSUMPTIONS!C36*(1+ASSUMPTIONS!C37)^5</f>
        <v>4407.9842304000013</v>
      </c>
      <c r="Q17" s="39">
        <f>ASSUMPTIONS!B85*12*(1+ASSUMPTIONS!B86)^12</f>
        <v>40956.179113801431</v>
      </c>
      <c r="R17" s="39">
        <f>ASSUMPTIONS!B76*12</f>
        <v>6000</v>
      </c>
      <c r="S17" s="39">
        <f t="shared" si="1"/>
        <v>144770.76583793116</v>
      </c>
      <c r="T17" s="39">
        <f>T16*(1+ASSUMPTIONS!B74)+R17+MAX(S17,0)*0.2</f>
        <v>803047.70757241582</v>
      </c>
      <c r="U17" s="40">
        <f t="shared" si="2"/>
        <v>-173310.20648868679</v>
      </c>
      <c r="V17" s="40">
        <f t="shared" si="3"/>
        <v>4203.1416269800011</v>
      </c>
      <c r="W17" s="40">
        <f t="shared" si="4"/>
        <v>-99614.086020927527</v>
      </c>
      <c r="X17" s="40">
        <f t="shared" si="5"/>
        <v>230908.75056257774</v>
      </c>
      <c r="Y17" s="40">
        <f t="shared" si="6"/>
        <v>84950.989920234017</v>
      </c>
    </row>
    <row r="18" spans="1:25" ht="15" customHeight="1">
      <c r="A18" s="34">
        <v>13</v>
      </c>
      <c r="B18" s="35">
        <v>2039</v>
      </c>
      <c r="C18" s="36" t="s">
        <v>194</v>
      </c>
      <c r="D18" s="37">
        <f>ASSUMPTIONS!B28*(1+ASSUMPTIONS!B29)^5+ASSUMPTIONS!B62</f>
        <v>97050.937566938082</v>
      </c>
      <c r="E18" s="37">
        <f>ASSUMPTIONS!B43*12*(1+ASSUMPTIONS!B44)^5</f>
        <v>7611.2418050113638</v>
      </c>
      <c r="F18" s="37">
        <f>MAX((D18-E18)*(ASSUMPTIONS!B81+ASSUMPTIONS!B84),0)</f>
        <v>16993.542194766076</v>
      </c>
      <c r="G18" s="37">
        <f>ASSUMPTIONS!B35*(1+ASSUMPTIONS!B38)^5</f>
        <v>210.98788152259996</v>
      </c>
      <c r="H18" s="37">
        <f>ASSUMPTIONS!B85*12*(1+ASSUMPTIONS!B86)^13</f>
        <v>42184.864487215469</v>
      </c>
      <c r="I18" s="37">
        <f>ASSUMPTIONS!B77*12</f>
        <v>0</v>
      </c>
      <c r="J18" s="37">
        <f t="shared" si="0"/>
        <v>45272.7848084453</v>
      </c>
      <c r="K18" s="37">
        <f>K17*(1+ASSUMPTIONS!B74)+I18+MAX(J18,0)*0.2</f>
        <v>1115387.9671661323</v>
      </c>
      <c r="L18" s="38" t="s">
        <v>192</v>
      </c>
      <c r="M18" s="39">
        <f>ASSUMPTIONS!B64*(1+ASSUMPTIONS!B66)^6</f>
        <v>278370.18406912009</v>
      </c>
      <c r="N18" s="39">
        <f>ASSUMPTIONS!B43*12*(1+ASSUMPTIONS!B44)^11</f>
        <v>8982.8512355353396</v>
      </c>
      <c r="O18" s="39">
        <f>MAX((M18-N18)*(ASSUMPTIONS!B83+ASSUMPTIONS!B84),0)</f>
        <v>83510.073178411272</v>
      </c>
      <c r="P18" s="39">
        <f>ASSUMPTIONS!C36*(1+ASSUMPTIONS!C37)^6</f>
        <v>4760.6229688320018</v>
      </c>
      <c r="Q18" s="39">
        <f>ASSUMPTIONS!B85*12*(1+ASSUMPTIONS!B86)^13</f>
        <v>42184.864487215469</v>
      </c>
      <c r="R18" s="39">
        <f>ASSUMPTIONS!B76*12</f>
        <v>6000</v>
      </c>
      <c r="S18" s="39">
        <f t="shared" si="1"/>
        <v>150897.47467019668</v>
      </c>
      <c r="T18" s="39">
        <f>T17*(1+ASSUMPTIONS!B74)+R18+MAX(S18,0)*0.2</f>
        <v>895440.54203652428</v>
      </c>
      <c r="U18" s="40">
        <f t="shared" si="2"/>
        <v>-182690.85593270598</v>
      </c>
      <c r="V18" s="40">
        <f t="shared" si="3"/>
        <v>4549.6350873094016</v>
      </c>
      <c r="W18" s="40">
        <f t="shared" si="4"/>
        <v>-105624.68986175138</v>
      </c>
      <c r="X18" s="40">
        <f t="shared" si="5"/>
        <v>219947.42512960802</v>
      </c>
      <c r="Y18" s="40">
        <f t="shared" si="6"/>
        <v>-20673.699941517363</v>
      </c>
    </row>
    <row r="19" spans="1:25" ht="15" customHeight="1">
      <c r="A19" s="34">
        <v>14</v>
      </c>
      <c r="B19" s="35">
        <v>2040</v>
      </c>
      <c r="C19" s="36" t="s">
        <v>195</v>
      </c>
      <c r="D19" s="37">
        <f>ASSUMPTIONS!B28*(1+ASSUMPTIONS!B29)^6+ASSUMPTIONS!B64*(1+ASSUMPTIONS!B66)^0</f>
        <v>271452.36381881236</v>
      </c>
      <c r="E19" s="37">
        <f>ASSUMPTIONS!B43*12*(1+ASSUMPTIONS!B44)^6</f>
        <v>7824.356575551682</v>
      </c>
      <c r="F19" s="37">
        <f>MAX((D19-E19)*(ASSUMPTIONS!B83+ASSUMPTIONS!B84),0)</f>
        <v>81724.682245410804</v>
      </c>
      <c r="G19" s="37">
        <f>ASSUMPTIONS!B35*(1+ASSUMPTIONS!B38)^6</f>
        <v>217.317517968278</v>
      </c>
      <c r="H19" s="37">
        <f>ASSUMPTIONS!B85*12*(1+ASSUMPTIONS!B86)^14</f>
        <v>43450.410421831933</v>
      </c>
      <c r="I19" s="37">
        <f>ASSUMPTIONS!B76*12</f>
        <v>6000</v>
      </c>
      <c r="J19" s="37">
        <f t="shared" si="0"/>
        <v>147884.31020915302</v>
      </c>
      <c r="K19" s="37">
        <f>K18*(1+ASSUMPTIONS!B74)+I19+MAX(J19,0)*0.2</f>
        <v>1229041.9869095921</v>
      </c>
      <c r="L19" s="38" t="s">
        <v>192</v>
      </c>
      <c r="M19" s="39">
        <f>ASSUMPTIONS!B64*(1+ASSUMPTIONS!B66)^7</f>
        <v>289504.99143188488</v>
      </c>
      <c r="N19" s="39">
        <f>ASSUMPTIONS!B43*12*(1+ASSUMPTIONS!B44)^12</f>
        <v>9234.3710701303298</v>
      </c>
      <c r="O19" s="39">
        <f>MAX((M19-N19)*(ASSUMPTIONS!B83+ASSUMPTIONS!B84),0)</f>
        <v>86883.892312143915</v>
      </c>
      <c r="P19" s="39">
        <f>ASSUMPTIONS!C36*(1+ASSUMPTIONS!C37)^7</f>
        <v>5141.4728063385619</v>
      </c>
      <c r="Q19" s="39">
        <f>ASSUMPTIONS!B85*12*(1+ASSUMPTIONS!B86)^14</f>
        <v>43450.410421831933</v>
      </c>
      <c r="R19" s="39">
        <f>ASSUMPTIONS!B76*12</f>
        <v>6000</v>
      </c>
      <c r="S19" s="39">
        <f t="shared" si="1"/>
        <v>157263.58696170076</v>
      </c>
      <c r="T19" s="39">
        <f>T18*(1+ASSUMPTIONS!B74)+R19+MAX(S19,0)*0.2</f>
        <v>995574.09737142117</v>
      </c>
      <c r="U19" s="40">
        <f t="shared" si="2"/>
        <v>-19462.642107651161</v>
      </c>
      <c r="V19" s="40">
        <f t="shared" si="3"/>
        <v>4924.1552883702843</v>
      </c>
      <c r="W19" s="40">
        <f t="shared" si="4"/>
        <v>-9379.2767525477393</v>
      </c>
      <c r="X19" s="40">
        <f t="shared" si="5"/>
        <v>233467.88953817089</v>
      </c>
      <c r="Y19" s="40">
        <f t="shared" si="6"/>
        <v>-30052.976694065102</v>
      </c>
    </row>
    <row r="20" spans="1:25" ht="15" customHeight="1">
      <c r="A20" s="34">
        <v>15</v>
      </c>
      <c r="B20" s="35">
        <v>2041</v>
      </c>
      <c r="C20" s="36" t="s">
        <v>195</v>
      </c>
      <c r="D20" s="37">
        <f>ASSUMPTIONS!B28*(1+ASSUMPTIONS!B29)^7+ASSUMPTIONS!B64*(1+ASSUMPTIONS!B66)^1</f>
        <v>281693.03000573907</v>
      </c>
      <c r="E20" s="37">
        <f>ASSUMPTIONS!B43*12*(1+ASSUMPTIONS!B44)^7</f>
        <v>8043.4385596671291</v>
      </c>
      <c r="F20" s="37">
        <f>MAX((D20-E20)*(ASSUMPTIONS!B83+ASSUMPTIONS!B84),0)</f>
        <v>84831.373348282301</v>
      </c>
      <c r="G20" s="37">
        <f>ASSUMPTIONS!B35*(1+ASSUMPTIONS!B38)^7</f>
        <v>223.83704350732634</v>
      </c>
      <c r="H20" s="37">
        <f>ASSUMPTIONS!B85*12*(1+ASSUMPTIONS!B86)^15</f>
        <v>44753.9227344869</v>
      </c>
      <c r="I20" s="37">
        <f>ASSUMPTIONS!B76*12</f>
        <v>6000</v>
      </c>
      <c r="J20" s="37">
        <f t="shared" si="0"/>
        <v>153927.3354391297</v>
      </c>
      <c r="K20" s="37">
        <f>K19*(1+ASSUMPTIONS!B74)+I20+MAX(J20,0)*0.2</f>
        <v>1351860.3930810895</v>
      </c>
      <c r="L20" s="38" t="s">
        <v>192</v>
      </c>
      <c r="M20" s="39">
        <f>ASSUMPTIONS!B64*(1+ASSUMPTIONS!B66)^8</f>
        <v>301085.19108916027</v>
      </c>
      <c r="N20" s="39">
        <f>ASSUMPTIONS!B43*12*(1+ASSUMPTIONS!B44)^13</f>
        <v>9492.9334600939801</v>
      </c>
      <c r="O20" s="39">
        <f>MAX((M20-N20)*(ASSUMPTIONS!B83+ASSUMPTIONS!B84),0)</f>
        <v>90393.599865010547</v>
      </c>
      <c r="P20" s="39">
        <f>ASSUMPTIONS!C36*(1+ASSUMPTIONS!C37)^8</f>
        <v>5552.7906308456468</v>
      </c>
      <c r="Q20" s="39">
        <f>ASSUMPTIONS!B85*12*(1+ASSUMPTIONS!B86)^15</f>
        <v>44753.9227344869</v>
      </c>
      <c r="R20" s="39">
        <f>ASSUMPTIONS!B76*12</f>
        <v>6000</v>
      </c>
      <c r="S20" s="39">
        <f t="shared" si="1"/>
        <v>163877.81131891118</v>
      </c>
      <c r="T20" s="39">
        <f>T19*(1+ASSUMPTIONS!B74)+R20+MAX(S20,0)*0.2</f>
        <v>1104039.8464512029</v>
      </c>
      <c r="U20" s="40">
        <f t="shared" si="2"/>
        <v>-20841.655983848032</v>
      </c>
      <c r="V20" s="40">
        <f t="shared" si="3"/>
        <v>5328.9535873383202</v>
      </c>
      <c r="W20" s="40">
        <f t="shared" si="4"/>
        <v>-9950.475879781472</v>
      </c>
      <c r="X20" s="40">
        <f t="shared" si="5"/>
        <v>247820.54662988661</v>
      </c>
      <c r="Y20" s="40">
        <f t="shared" si="6"/>
        <v>-40003.452573846575</v>
      </c>
    </row>
    <row r="21" spans="1:25" ht="15" customHeight="1">
      <c r="A21" s="34">
        <v>16</v>
      </c>
      <c r="B21" s="35">
        <v>2042</v>
      </c>
      <c r="C21" s="36" t="s">
        <v>195</v>
      </c>
      <c r="D21" s="37">
        <f>ASSUMPTIONS!B28*(1+ASSUMPTIONS!B29)^8+ASSUMPTIONS!B64*(1+ASSUMPTIONS!B66)^2</f>
        <v>292326.03484589979</v>
      </c>
      <c r="E21" s="37">
        <f>ASSUMPTIONS!B43*12*(1+ASSUMPTIONS!B44)^8</f>
        <v>8268.6548393378089</v>
      </c>
      <c r="F21" s="37">
        <f>MAX((D21-E21)*(ASSUMPTIONS!B83+ASSUMPTIONS!B84),0)</f>
        <v>88057.787802034218</v>
      </c>
      <c r="G21" s="37">
        <f>ASSUMPTIONS!B35*(1+ASSUMPTIONS!B38)^8</f>
        <v>230.55215481254609</v>
      </c>
      <c r="H21" s="37">
        <f>ASSUMPTIONS!B85*12*(1+ASSUMPTIONS!B86)^16</f>
        <v>46096.540416521493</v>
      </c>
      <c r="I21" s="37">
        <f>ASSUMPTIONS!B76*12</f>
        <v>6000</v>
      </c>
      <c r="J21" s="37">
        <f t="shared" si="0"/>
        <v>160209.80931186932</v>
      </c>
      <c r="K21" s="37">
        <f>K20*(1+ASSUMPTIONS!B74)+I21+MAX(J21,0)*0.2</f>
        <v>1484532.5824591396</v>
      </c>
      <c r="L21" s="38" t="s">
        <v>192</v>
      </c>
      <c r="M21" s="39">
        <f>ASSUMPTIONS!B64*(1+ASSUMPTIONS!B66)^9</f>
        <v>313128.59873272676</v>
      </c>
      <c r="N21" s="39">
        <f>ASSUMPTIONS!B43*12*(1+ASSUMPTIONS!B44)^14</f>
        <v>9758.7355969766104</v>
      </c>
      <c r="O21" s="39">
        <f>MAX((M21-N21)*(ASSUMPTIONS!B83+ASSUMPTIONS!B84),0)</f>
        <v>94044.657572082549</v>
      </c>
      <c r="P21" s="39">
        <f>ASSUMPTIONS!C36*(1+ASSUMPTIONS!C37)^9</f>
        <v>5997.013881313299</v>
      </c>
      <c r="Q21" s="39">
        <f>ASSUMPTIONS!B85*12*(1+ASSUMPTIONS!B86)^16</f>
        <v>46096.540416521493</v>
      </c>
      <c r="R21" s="39">
        <f>ASSUMPTIONS!B76*12</f>
        <v>6000</v>
      </c>
      <c r="S21" s="39">
        <f t="shared" si="1"/>
        <v>170749.12245978604</v>
      </c>
      <c r="T21" s="39">
        <f>T20*(1+ASSUMPTIONS!B74)+R21+MAX(S21,0)*0.2</f>
        <v>1221472.4601947444</v>
      </c>
      <c r="U21" s="40">
        <f t="shared" si="2"/>
        <v>-22292.644644465763</v>
      </c>
      <c r="V21" s="40">
        <f t="shared" si="3"/>
        <v>5766.4617265007528</v>
      </c>
      <c r="W21" s="40">
        <f t="shared" si="4"/>
        <v>-10539.31314791672</v>
      </c>
      <c r="X21" s="40">
        <f t="shared" si="5"/>
        <v>263060.12226439524</v>
      </c>
      <c r="Y21" s="40">
        <f t="shared" si="6"/>
        <v>-50542.765721763295</v>
      </c>
    </row>
    <row r="22" spans="1:25" ht="15" customHeight="1">
      <c r="A22" s="34">
        <v>17</v>
      </c>
      <c r="B22" s="35">
        <v>2043</v>
      </c>
      <c r="C22" s="36" t="s">
        <v>195</v>
      </c>
      <c r="D22" s="37">
        <f>ASSUMPTIONS!B28*(1+ASSUMPTIONS!B29)^9+ASSUMPTIONS!B64*(1+ASSUMPTIONS!B66)^3</f>
        <v>303366.58782158501</v>
      </c>
      <c r="E22" s="37">
        <f>ASSUMPTIONS!B43*12*(1+ASSUMPTIONS!B44)^9</f>
        <v>8500.1771748392675</v>
      </c>
      <c r="F22" s="37">
        <f>MAX((D22-E22)*(ASSUMPTIONS!B83+ASSUMPTIONS!B84),0)</f>
        <v>91408.587300491185</v>
      </c>
      <c r="G22" s="37">
        <f>ASSUMPTIONS!B35*(1+ASSUMPTIONS!B38)^9</f>
        <v>237.46871945692249</v>
      </c>
      <c r="H22" s="37">
        <f>ASSUMPTIONS!B85*12*(1+ASSUMPTIONS!B86)^17</f>
        <v>47479.436629017138</v>
      </c>
      <c r="I22" s="37">
        <f>ASSUMPTIONS!B76*12</f>
        <v>6000</v>
      </c>
      <c r="J22" s="37">
        <f t="shared" si="0"/>
        <v>166741.27234745902</v>
      </c>
      <c r="K22" s="37">
        <f>K21*(1+ASSUMPTIONS!B74)+I22+MAX(J22,0)*0.2</f>
        <v>1627798.1177007712</v>
      </c>
      <c r="L22" s="38" t="s">
        <v>192</v>
      </c>
      <c r="M22" s="39">
        <f>ASSUMPTIONS!B64*(1+ASSUMPTIONS!B66)^10</f>
        <v>325653.74268203584</v>
      </c>
      <c r="N22" s="39">
        <f>ASSUMPTIONS!B43*12*(1+ASSUMPTIONS!B44)^15</f>
        <v>10031.980193691956</v>
      </c>
      <c r="O22" s="39">
        <f>MAX((M22-N22)*(ASSUMPTIONS!B83+ASSUMPTIONS!B84),0)</f>
        <v>97842.746371386602</v>
      </c>
      <c r="P22" s="39">
        <f>ASSUMPTIONS!C36*(1+ASSUMPTIONS!C37)^10</f>
        <v>6476.7749918183636</v>
      </c>
      <c r="Q22" s="39">
        <f>ASSUMPTIONS!B85*12*(1+ASSUMPTIONS!B86)^17</f>
        <v>47479.436629017138</v>
      </c>
      <c r="R22" s="39">
        <f>ASSUMPTIONS!B76*12</f>
        <v>6000</v>
      </c>
      <c r="S22" s="39">
        <f t="shared" si="1"/>
        <v>177886.7648835057</v>
      </c>
      <c r="T22" s="39">
        <f>T21*(1+ASSUMPTIONS!B74)+R22+MAX(S22,0)*0.2</f>
        <v>1348552.8853850779</v>
      </c>
      <c r="U22" s="40">
        <f t="shared" si="2"/>
        <v>-23818.957879303547</v>
      </c>
      <c r="V22" s="40">
        <f t="shared" si="3"/>
        <v>6239.3062723614412</v>
      </c>
      <c r="W22" s="40">
        <f t="shared" si="4"/>
        <v>-11145.492536046688</v>
      </c>
      <c r="X22" s="40">
        <f t="shared" si="5"/>
        <v>279245.23231569328</v>
      </c>
      <c r="Y22" s="40">
        <f t="shared" si="6"/>
        <v>-61688.258257809983</v>
      </c>
    </row>
    <row r="23" spans="1:25" ht="15" customHeight="1">
      <c r="A23" s="34">
        <v>18</v>
      </c>
      <c r="B23" s="35">
        <v>2044</v>
      </c>
      <c r="C23" s="36" t="s">
        <v>195</v>
      </c>
      <c r="D23" s="37">
        <f>ASSUMPTIONS!B28*(1+ASSUMPTIONS!B29)^10+ASSUMPTIONS!B64*(1+ASSUMPTIONS!B66)^4</f>
        <v>314830.49324058939</v>
      </c>
      <c r="E23" s="37">
        <f>ASSUMPTIONS!B43*12*(1+ASSUMPTIONS!B44)^10</f>
        <v>8738.1821357347671</v>
      </c>
      <c r="F23" s="37">
        <f>MAX((D23-E23)*(ASSUMPTIONS!B83+ASSUMPTIONS!B84),0)</f>
        <v>94888.616442504936</v>
      </c>
      <c r="G23" s="37">
        <f>ASSUMPTIONS!B35*(1+ASSUMPTIONS!B38)^10</f>
        <v>244.59278104063017</v>
      </c>
      <c r="H23" s="37">
        <f>ASSUMPTIONS!B85*12*(1+ASSUMPTIONS!B86)^18</f>
        <v>48903.819727887654</v>
      </c>
      <c r="I23" s="37">
        <f>ASSUMPTIONS!B76*12</f>
        <v>6000</v>
      </c>
      <c r="J23" s="37">
        <f t="shared" si="0"/>
        <v>173531.64642489093</v>
      </c>
      <c r="K23" s="37">
        <f>K22*(1+ASSUMPTIONS!B74)+I23+MAX(J23,0)*0.2</f>
        <v>1782450.3152248033</v>
      </c>
      <c r="L23" s="38" t="s">
        <v>192</v>
      </c>
      <c r="M23" s="39">
        <f>ASSUMPTIONS!B64*(1+ASSUMPTIONS!B66)^11</f>
        <v>338679.89238931722</v>
      </c>
      <c r="N23" s="39">
        <f>ASSUMPTIONS!B43*12*(1+ASSUMPTIONS!B44)^16</f>
        <v>10312.875639115329</v>
      </c>
      <c r="O23" s="39">
        <f>MAX((M23-N23)*(ASSUMPTIONS!B83+ASSUMPTIONS!B84),0)</f>
        <v>101793.77519256258</v>
      </c>
      <c r="P23" s="39">
        <f>ASSUMPTIONS!C36*(1+ASSUMPTIONS!C37)^11</f>
        <v>6994.9169911638319</v>
      </c>
      <c r="Q23" s="39">
        <f>ASSUMPTIONS!B85*12*(1+ASSUMPTIONS!B86)^18</f>
        <v>48903.819727887654</v>
      </c>
      <c r="R23" s="39">
        <f>ASSUMPTIONS!B76*12</f>
        <v>6000</v>
      </c>
      <c r="S23" s="39">
        <f t="shared" si="1"/>
        <v>185300.25611681849</v>
      </c>
      <c r="T23" s="39">
        <f>T22*(1+ASSUMPTIONS!B74)+R23+MAX(S23,0)*0.2</f>
        <v>1486011.6385853973</v>
      </c>
      <c r="U23" s="40">
        <f t="shared" si="2"/>
        <v>-25424.092652108404</v>
      </c>
      <c r="V23" s="40">
        <f t="shared" si="3"/>
        <v>6750.3242101232017</v>
      </c>
      <c r="W23" s="40">
        <f t="shared" si="4"/>
        <v>-11768.609691927559</v>
      </c>
      <c r="X23" s="40">
        <f t="shared" si="5"/>
        <v>296438.67663940601</v>
      </c>
      <c r="Y23" s="40">
        <f t="shared" si="6"/>
        <v>-73456.867949737541</v>
      </c>
    </row>
    <row r="24" spans="1:25" ht="15" customHeight="1">
      <c r="A24" s="34">
        <v>19</v>
      </c>
      <c r="B24" s="35">
        <v>2045</v>
      </c>
      <c r="C24" s="36" t="s">
        <v>195</v>
      </c>
      <c r="D24" s="37">
        <f>ASSUMPTIONS!B28*(1+ASSUMPTIONS!B29)^11+ASSUMPTIONS!B64*(1+ASSUMPTIONS!B66)^5</f>
        <v>326734.17364972597</v>
      </c>
      <c r="E24" s="37">
        <f>ASSUMPTIONS!B43*12*(1+ASSUMPTIONS!B44)^11</f>
        <v>8982.8512355353396</v>
      </c>
      <c r="F24" s="37">
        <f>MAX((D24-E24)*(ASSUMPTIONS!B83+ASSUMPTIONS!B84),0)</f>
        <v>98502.909948399087</v>
      </c>
      <c r="G24" s="37">
        <f>ASSUMPTIONS!B35*(1+ASSUMPTIONS!B38)^11</f>
        <v>251.93056447184907</v>
      </c>
      <c r="H24" s="37">
        <f>ASSUMPTIONS!B85*12*(1+ASSUMPTIONS!B86)^19</f>
        <v>50370.934319724285</v>
      </c>
      <c r="I24" s="37">
        <f>ASSUMPTIONS!B76*12</f>
        <v>6000</v>
      </c>
      <c r="J24" s="37">
        <f t="shared" si="0"/>
        <v>180591.25005266612</v>
      </c>
      <c r="K24" s="37">
        <f>K23*(1+ASSUMPTIONS!B74)+I24+MAX(J24,0)*0.2</f>
        <v>1949340.0873010729</v>
      </c>
      <c r="L24" s="38" t="s">
        <v>192</v>
      </c>
      <c r="M24" s="39">
        <f>ASSUMPTIONS!B64*(1+ASSUMPTIONS!B66)^12</f>
        <v>352227.08808488998</v>
      </c>
      <c r="N24" s="39">
        <f>ASSUMPTIONS!B43*12*(1+ASSUMPTIONS!B44)^17</f>
        <v>10601.63615701056</v>
      </c>
      <c r="O24" s="39">
        <f>MAX((M24-N24)*(ASSUMPTIONS!B83+ASSUMPTIONS!B84),0)</f>
        <v>105903.89009764262</v>
      </c>
      <c r="P24" s="39">
        <f>ASSUMPTIONS!C36*(1+ASSUMPTIONS!C37)^12</f>
        <v>7554.5103504569397</v>
      </c>
      <c r="Q24" s="39">
        <f>ASSUMPTIONS!B85*12*(1+ASSUMPTIONS!B86)^19</f>
        <v>50370.934319724285</v>
      </c>
      <c r="R24" s="39">
        <f>ASSUMPTIONS!B76*12</f>
        <v>6000</v>
      </c>
      <c r="S24" s="39">
        <f t="shared" si="1"/>
        <v>192999.38947407674</v>
      </c>
      <c r="T24" s="39">
        <f>T23*(1+ASSUMPTIONS!B74)+R24+MAX(S24,0)*0.2</f>
        <v>1634632.3311811904</v>
      </c>
      <c r="U24" s="40">
        <f t="shared" si="2"/>
        <v>-27111.699356639234</v>
      </c>
      <c r="V24" s="40">
        <f t="shared" si="3"/>
        <v>7302.5797859850909</v>
      </c>
      <c r="W24" s="40">
        <f t="shared" si="4"/>
        <v>-12408.139421410626</v>
      </c>
      <c r="X24" s="40">
        <f t="shared" si="5"/>
        <v>314707.75611988246</v>
      </c>
      <c r="Y24" s="40">
        <f t="shared" si="6"/>
        <v>-85865.007371148167</v>
      </c>
    </row>
    <row r="25" spans="1:25" ht="15" customHeight="1">
      <c r="A25" s="34">
        <v>20</v>
      </c>
      <c r="B25" s="35">
        <v>2046</v>
      </c>
      <c r="C25" s="36" t="s">
        <v>195</v>
      </c>
      <c r="D25" s="37">
        <f>ASSUMPTIONS!B28*(1+ASSUMPTIONS!B29)^12+ASSUMPTIONS!B64*(1+ASSUMPTIONS!B66)^6</f>
        <v>339094.69417425431</v>
      </c>
      <c r="E25" s="37">
        <f>ASSUMPTIONS!B43*12*(1+ASSUMPTIONS!B44)^12</f>
        <v>9234.3710701303298</v>
      </c>
      <c r="F25" s="37">
        <f>MAX((D25-E25)*(ASSUMPTIONS!B83+ASSUMPTIONS!B84),0)</f>
        <v>102256.70016227843</v>
      </c>
      <c r="G25" s="37">
        <f>ASSUMPTIONS!B35*(1+ASSUMPTIONS!B38)^12</f>
        <v>259.4884814060045</v>
      </c>
      <c r="H25" s="37">
        <f>ASSUMPTIONS!B85*12*(1+ASSUMPTIONS!B86)^20</f>
        <v>51882.062349316009</v>
      </c>
      <c r="I25" s="37">
        <f>ASSUMPTIONS!B76*12</f>
        <v>6000</v>
      </c>
      <c r="J25" s="37">
        <f t="shared" si="0"/>
        <v>187930.81425138417</v>
      </c>
      <c r="K25" s="37">
        <f>K24*(1+ASSUMPTIONS!B74)+I25+MAX(J25,0)*0.2</f>
        <v>2129380.0562624251</v>
      </c>
      <c r="L25" s="38" t="s">
        <v>192</v>
      </c>
      <c r="M25" s="39">
        <f>ASSUMPTIONS!B64*(1+ASSUMPTIONS!B66)^13</f>
        <v>366316.17160828557</v>
      </c>
      <c r="N25" s="39">
        <f>ASSUMPTIONS!B43*12*(1+ASSUMPTIONS!B44)^18</f>
        <v>10898.481969406854</v>
      </c>
      <c r="O25" s="39">
        <f>MAX((M25-N25)*(ASSUMPTIONS!B83+ASSUMPTIONS!B84),0)</f>
        <v>110179.48378805241</v>
      </c>
      <c r="P25" s="39">
        <f>ASSUMPTIONS!C36*(1+ASSUMPTIONS!C37)^13</f>
        <v>8158.8711784934949</v>
      </c>
      <c r="Q25" s="39">
        <f>ASSUMPTIONS!B85*12*(1+ASSUMPTIONS!B86)^20</f>
        <v>51882.062349316009</v>
      </c>
      <c r="R25" s="39">
        <f>ASSUMPTIONS!B76*12</f>
        <v>6000</v>
      </c>
      <c r="S25" s="39">
        <f t="shared" si="1"/>
        <v>200994.23626183049</v>
      </c>
      <c r="T25" s="39">
        <f>T24*(1+ASSUMPTIONS!B74)+R25+MAX(S25,0)*0.2</f>
        <v>1795255.44161624</v>
      </c>
      <c r="U25" s="40">
        <f t="shared" si="2"/>
        <v>-28885.588333307765</v>
      </c>
      <c r="V25" s="40">
        <f t="shared" si="3"/>
        <v>7899.3826970874907</v>
      </c>
      <c r="W25" s="40">
        <f t="shared" si="4"/>
        <v>-13063.422010446317</v>
      </c>
      <c r="X25" s="40">
        <f t="shared" si="5"/>
        <v>334124.61464618519</v>
      </c>
      <c r="Y25" s="40">
        <f t="shared" si="6"/>
        <v>-98928.429381594484</v>
      </c>
    </row>
    <row r="26" spans="1:25" ht="15" customHeight="1">
      <c r="A26" s="34">
        <v>21</v>
      </c>
      <c r="B26" s="35">
        <v>2047</v>
      </c>
      <c r="C26" s="36" t="s">
        <v>195</v>
      </c>
      <c r="D26" s="37">
        <f>ASSUMPTIONS!B28*(1+ASSUMPTIONS!B29)^13+ASSUMPTIONS!B64*(1+ASSUMPTIONS!B66)^7</f>
        <v>351929.78781996283</v>
      </c>
      <c r="E26" s="37">
        <f>ASSUMPTIONS!B43*12*(1+ASSUMPTIONS!B44)^13</f>
        <v>9492.9334600939801</v>
      </c>
      <c r="F26" s="37">
        <f>MAX((D26-E26)*(ASSUMPTIONS!B83+ASSUMPTIONS!B84),0)</f>
        <v>106155.42485155935</v>
      </c>
      <c r="G26" s="37">
        <f>ASSUMPTIONS!B35*(1+ASSUMPTIONS!B38)^13</f>
        <v>267.27313584818461</v>
      </c>
      <c r="H26" s="37">
        <f>ASSUMPTIONS!B85*12*(1+ASSUMPTIONS!B86)^21</f>
        <v>53438.524219795487</v>
      </c>
      <c r="I26" s="37">
        <f>ASSUMPTIONS!B76*12</f>
        <v>6000</v>
      </c>
      <c r="J26" s="37">
        <f t="shared" si="0"/>
        <v>195561.4990728538</v>
      </c>
      <c r="K26" s="37">
        <f>K25*(1+ASSUMPTIONS!B74)+I26+MAX(J26,0)*0.2</f>
        <v>2323548.9600153659</v>
      </c>
      <c r="L26" s="38" t="s">
        <v>192</v>
      </c>
      <c r="M26" s="39">
        <f>ASSUMPTIONS!B64*(1+ASSUMPTIONS!B66)^14</f>
        <v>380968.81847261701</v>
      </c>
      <c r="N26" s="39">
        <f>ASSUMPTIONS!B43*12*(1+ASSUMPTIONS!B44)^19</f>
        <v>11203.639464550246</v>
      </c>
      <c r="O26" s="39">
        <f>MAX((M26-N26)*(ASSUMPTIONS!B83+ASSUMPTIONS!B84),0)</f>
        <v>114627.2054925007</v>
      </c>
      <c r="P26" s="39">
        <f>ASSUMPTIONS!C36*(1+ASSUMPTIONS!C37)^14</f>
        <v>8811.5808727729764</v>
      </c>
      <c r="Q26" s="39">
        <f>ASSUMPTIONS!B85*12*(1+ASSUMPTIONS!B86)^21</f>
        <v>53438.524219795487</v>
      </c>
      <c r="R26" s="39">
        <f>ASSUMPTIONS!B76*12</f>
        <v>6000</v>
      </c>
      <c r="S26" s="39">
        <f t="shared" si="1"/>
        <v>209295.14735209814</v>
      </c>
      <c r="T26" s="39">
        <f>T25*(1+ASSUMPTIONS!B74)+R26+MAX(S26,0)*0.2</f>
        <v>1968782.3519997965</v>
      </c>
      <c r="U26" s="40">
        <f t="shared" si="2"/>
        <v>-30749.73665711045</v>
      </c>
      <c r="V26" s="40">
        <f t="shared" si="3"/>
        <v>8544.3077369247912</v>
      </c>
      <c r="W26" s="40">
        <f t="shared" si="4"/>
        <v>-13733.648279244342</v>
      </c>
      <c r="X26" s="40">
        <f t="shared" si="5"/>
        <v>354766.60801556939</v>
      </c>
      <c r="Y26" s="40">
        <f t="shared" si="6"/>
        <v>-112662.07766083883</v>
      </c>
    </row>
    <row r="27" spans="1:25" ht="15" customHeight="1">
      <c r="A27" s="34">
        <v>22</v>
      </c>
      <c r="B27" s="35">
        <v>2048</v>
      </c>
      <c r="C27" s="36" t="s">
        <v>195</v>
      </c>
      <c r="D27" s="37">
        <f>ASSUMPTIONS!B28*(1+ASSUMPTIONS!B29)^14+ASSUMPTIONS!B64*(1+ASSUMPTIONS!B66)^8</f>
        <v>365257.88177610439</v>
      </c>
      <c r="E27" s="37">
        <f>ASSUMPTIONS!B43*12*(1+ASSUMPTIONS!B44)^14</f>
        <v>9758.7355969766104</v>
      </c>
      <c r="F27" s="37">
        <f>MAX((D27-E27)*(ASSUMPTIONS!B83+ASSUMPTIONS!B84),0)</f>
        <v>110204.73531552962</v>
      </c>
      <c r="G27" s="37">
        <f>ASSUMPTIONS!B35*(1+ASSUMPTIONS!B38)^14</f>
        <v>275.2913299236302</v>
      </c>
      <c r="H27" s="37">
        <f>ASSUMPTIONS!B85*12*(1+ASSUMPTIONS!B86)^22</f>
        <v>55041.679946389355</v>
      </c>
      <c r="I27" s="37">
        <f>ASSUMPTIONS!B76*12</f>
        <v>6000</v>
      </c>
      <c r="J27" s="37">
        <f t="shared" si="0"/>
        <v>203494.9107812384</v>
      </c>
      <c r="K27" s="37">
        <f>K26*(1+ASSUMPTIONS!B74)+I27+MAX(J27,0)*0.2</f>
        <v>2532896.3693726896</v>
      </c>
      <c r="L27" s="38" t="s">
        <v>192</v>
      </c>
      <c r="M27" s="39">
        <f>ASSUMPTIONS!B64*(1+ASSUMPTIONS!B66)^15</f>
        <v>396207.57121152169</v>
      </c>
      <c r="N27" s="39">
        <f>ASSUMPTIONS!B43*12*(1+ASSUMPTIONS!B44)^20</f>
        <v>11517.341369557655</v>
      </c>
      <c r="O27" s="39">
        <f>MAX((M27-N27)*(ASSUMPTIONS!B83+ASSUMPTIONS!B84),0)</f>
        <v>119253.97125100884</v>
      </c>
      <c r="P27" s="39">
        <f>ASSUMPTIONS!C36*(1+ASSUMPTIONS!C37)^15</f>
        <v>9516.507342594814</v>
      </c>
      <c r="Q27" s="39">
        <f>ASSUMPTIONS!B85*12*(1+ASSUMPTIONS!B86)^22</f>
        <v>55041.679946389355</v>
      </c>
      <c r="R27" s="39">
        <f>ASSUMPTIONS!B76*12</f>
        <v>6000</v>
      </c>
      <c r="S27" s="39">
        <f t="shared" si="1"/>
        <v>217912.75404108636</v>
      </c>
      <c r="T27" s="39">
        <f>T26*(1+ASSUMPTIONS!B74)+R27+MAX(S27,0)*0.2</f>
        <v>2156179.6674479996</v>
      </c>
      <c r="U27" s="40">
        <f t="shared" si="2"/>
        <v>-32708.295207998366</v>
      </c>
      <c r="V27" s="40">
        <f t="shared" si="3"/>
        <v>9241.2160126711842</v>
      </c>
      <c r="W27" s="40">
        <f t="shared" si="4"/>
        <v>-14417.843259847956</v>
      </c>
      <c r="X27" s="40">
        <f t="shared" si="5"/>
        <v>376716.70192469005</v>
      </c>
      <c r="Y27" s="40">
        <f t="shared" si="6"/>
        <v>-127079.92092068678</v>
      </c>
    </row>
    <row r="28" spans="1:25" ht="15" customHeight="1">
      <c r="A28" s="34">
        <v>23</v>
      </c>
      <c r="B28" s="35">
        <v>2049</v>
      </c>
      <c r="C28" s="36" t="s">
        <v>195</v>
      </c>
      <c r="D28" s="37">
        <f>ASSUMPTIONS!B28*(1+ASSUMPTIONS!B29)^15+ASSUMPTIONS!B64*(1+ASSUMPTIONS!B66)^9</f>
        <v>379098.12475890532</v>
      </c>
      <c r="E28" s="37">
        <f>ASSUMPTIONS!B43*12*(1+ASSUMPTIONS!B44)^15</f>
        <v>10031.980193691956</v>
      </c>
      <c r="F28" s="37">
        <f>MAX((D28-E28)*(ASSUMPTIONS!B83+ASSUMPTIONS!B84),0)</f>
        <v>114410.50481521613</v>
      </c>
      <c r="G28" s="37">
        <f>ASSUMPTIONS!B35*(1+ASSUMPTIONS!B38)^15</f>
        <v>283.55006982133915</v>
      </c>
      <c r="H28" s="37">
        <f>ASSUMPTIONS!B85*12*(1+ASSUMPTIONS!B86)^23</f>
        <v>56692.930344781038</v>
      </c>
      <c r="I28" s="37">
        <f>ASSUMPTIONS!B76*12</f>
        <v>6000</v>
      </c>
      <c r="J28" s="37">
        <f t="shared" si="0"/>
        <v>211743.11972277879</v>
      </c>
      <c r="K28" s="37">
        <f>K27*(1+ASSUMPTIONS!B74)+I28+MAX(J28,0)*0.2</f>
        <v>2758547.7391733341</v>
      </c>
      <c r="L28" s="38" t="s">
        <v>192</v>
      </c>
      <c r="M28" s="39">
        <f>ASSUMPTIONS!B64*(1+ASSUMPTIONS!B66)^16</f>
        <v>412055.8740599826</v>
      </c>
      <c r="N28" s="39">
        <f>ASSUMPTIONS!B43*12*(1+ASSUMPTIONS!B44)^21</f>
        <v>11839.826927905267</v>
      </c>
      <c r="O28" s="39">
        <f>MAX((M28-N28)*(ASSUMPTIONS!B83+ASSUMPTIONS!B84),0)</f>
        <v>124066.97461094397</v>
      </c>
      <c r="P28" s="39">
        <f>ASSUMPTIONS!C36*(1+ASSUMPTIONS!C37)^16</f>
        <v>10277.827930002399</v>
      </c>
      <c r="Q28" s="39">
        <f>ASSUMPTIONS!B85*12*(1+ASSUMPTIONS!B86)^23</f>
        <v>56692.930344781038</v>
      </c>
      <c r="R28" s="39">
        <f>ASSUMPTIONS!B76*12</f>
        <v>6000</v>
      </c>
      <c r="S28" s="39">
        <f t="shared" si="1"/>
        <v>226857.96810216043</v>
      </c>
      <c r="T28" s="39">
        <f>T27*(1+ASSUMPTIONS!B74)+R28+MAX(S28,0)*0.2</f>
        <v>2358483.8377897916</v>
      </c>
      <c r="U28" s="40">
        <f t="shared" si="2"/>
        <v>-34765.596035290568</v>
      </c>
      <c r="V28" s="40">
        <f t="shared" si="3"/>
        <v>9994.2778601810587</v>
      </c>
      <c r="W28" s="40">
        <f t="shared" si="4"/>
        <v>-15114.848379381641</v>
      </c>
      <c r="X28" s="40">
        <f t="shared" si="5"/>
        <v>400063.90138354246</v>
      </c>
      <c r="Y28" s="40">
        <f t="shared" si="6"/>
        <v>-142194.76930006844</v>
      </c>
    </row>
    <row r="29" spans="1:25" ht="15" customHeight="1">
      <c r="A29" s="34">
        <v>24</v>
      </c>
      <c r="B29" s="35">
        <v>2050</v>
      </c>
      <c r="C29" s="36" t="s">
        <v>195</v>
      </c>
      <c r="D29" s="37">
        <f>ASSUMPTIONS!B28*(1+ASSUMPTIONS!B29)^16+ASSUMPTIONS!B64*(1+ASSUMPTIONS!B66)^10</f>
        <v>393470.41543694737</v>
      </c>
      <c r="E29" s="37">
        <f>ASSUMPTIONS!B43*12*(1+ASSUMPTIONS!B44)^16</f>
        <v>10312.875639115329</v>
      </c>
      <c r="F29" s="37">
        <f>MAX((D29-E29)*(ASSUMPTIONS!B83+ASSUMPTIONS!B84),0)</f>
        <v>118778.83733732793</v>
      </c>
      <c r="G29" s="37">
        <f>ASSUMPTIONS!B35*(1+ASSUMPTIONS!B38)^16</f>
        <v>292.05657191597925</v>
      </c>
      <c r="H29" s="37">
        <f>ASSUMPTIONS!B85*12*(1+ASSUMPTIONS!B86)^24</f>
        <v>58393.718255124462</v>
      </c>
      <c r="I29" s="37">
        <f>ASSUMPTIONS!B76*12</f>
        <v>6000</v>
      </c>
      <c r="J29" s="37">
        <f t="shared" si="0"/>
        <v>220318.67891169433</v>
      </c>
      <c r="K29" s="37">
        <f>K28*(1+ASSUMPTIONS!B74)+I29+MAX(J29,0)*0.2</f>
        <v>3001709.8166978066</v>
      </c>
      <c r="L29" s="38" t="s">
        <v>192</v>
      </c>
      <c r="M29" s="39">
        <f>ASSUMPTIONS!B64*(1+ASSUMPTIONS!B66)^17</f>
        <v>428538.10902238195</v>
      </c>
      <c r="N29" s="39">
        <f>ASSUMPTIONS!B43*12*(1+ASSUMPTIONS!B44)^22</f>
        <v>12171.342081886616</v>
      </c>
      <c r="O29" s="39">
        <f>MAX((M29-N29)*(ASSUMPTIONS!B83+ASSUMPTIONS!B84),0)</f>
        <v>129073.69775155355</v>
      </c>
      <c r="P29" s="39">
        <f>ASSUMPTIONS!C36*(1+ASSUMPTIONS!C37)^17</f>
        <v>11100.054164402593</v>
      </c>
      <c r="Q29" s="39">
        <f>ASSUMPTIONS!B85*12*(1+ASSUMPTIONS!B86)^24</f>
        <v>58393.718255124462</v>
      </c>
      <c r="R29" s="39">
        <f>ASSUMPTIONS!B76*12</f>
        <v>6000</v>
      </c>
      <c r="S29" s="39">
        <f t="shared" si="1"/>
        <v>236141.98093318794</v>
      </c>
      <c r="T29" s="39">
        <f>T28*(1+ASSUMPTIONS!B74)+R29+MAX(S29,0)*0.2</f>
        <v>2576806.1026217151</v>
      </c>
      <c r="U29" s="40">
        <f t="shared" si="2"/>
        <v>-36926.160028205835</v>
      </c>
      <c r="V29" s="40">
        <f t="shared" si="3"/>
        <v>10807.997592486614</v>
      </c>
      <c r="W29" s="40">
        <f t="shared" si="4"/>
        <v>-15823.302021493611</v>
      </c>
      <c r="X29" s="40">
        <f t="shared" si="5"/>
        <v>424903.71407609154</v>
      </c>
      <c r="Y29" s="40">
        <f t="shared" si="6"/>
        <v>-158018.07132156205</v>
      </c>
    </row>
    <row r="30" spans="1:25" ht="15" customHeight="1">
      <c r="A30" s="34">
        <v>25</v>
      </c>
      <c r="B30" s="35">
        <v>2051</v>
      </c>
      <c r="C30" s="36" t="s">
        <v>195</v>
      </c>
      <c r="D30" s="37">
        <f>ASSUMPTIONS!B28*(1+ASSUMPTIONS!B29)^17+ASSUMPTIONS!B64*(1+ASSUMPTIONS!B66)^11</f>
        <v>408395.4319813663</v>
      </c>
      <c r="E30" s="37">
        <f>ASSUMPTIONS!B43*12*(1+ASSUMPTIONS!B44)^17</f>
        <v>10601.63615701056</v>
      </c>
      <c r="F30" s="37">
        <f>MAX((D30-E30)*(ASSUMPTIONS!B83+ASSUMPTIONS!B84),0)</f>
        <v>123316.07670555028</v>
      </c>
      <c r="G30" s="37">
        <f>ASSUMPTIONS!B35*(1+ASSUMPTIONS!B38)^17</f>
        <v>300.81826907345862</v>
      </c>
      <c r="H30" s="37">
        <f>ASSUMPTIONS!B85*12*(1+ASSUMPTIONS!B86)^25</f>
        <v>60145.529802778197</v>
      </c>
      <c r="I30" s="37">
        <f>ASSUMPTIONS!B76*12</f>
        <v>6000</v>
      </c>
      <c r="J30" s="37">
        <f t="shared" si="0"/>
        <v>229234.64336097497</v>
      </c>
      <c r="K30" s="37">
        <f>K29*(1+ASSUMPTIONS!B74)+I30+MAX(J30,0)*0.2</f>
        <v>3263676.4325388484</v>
      </c>
      <c r="L30" s="38" t="s">
        <v>192</v>
      </c>
      <c r="M30" s="39">
        <f>ASSUMPTIONS!B64*(1+ASSUMPTIONS!B66)^18</f>
        <v>445679.63338327728</v>
      </c>
      <c r="N30" s="39">
        <f>ASSUMPTIONS!B43*12*(1+ASSUMPTIONS!B44)^23</f>
        <v>12512.13966017944</v>
      </c>
      <c r="O30" s="39">
        <f>MAX((M30-N30)*(ASSUMPTIONS!B83+ASSUMPTIONS!B84),0)</f>
        <v>134281.92305416032</v>
      </c>
      <c r="P30" s="39">
        <f>ASSUMPTIONS!C36*(1+ASSUMPTIONS!C37)^18</f>
        <v>11988.058497554801</v>
      </c>
      <c r="Q30" s="39">
        <f>ASSUMPTIONS!B85*12*(1+ASSUMPTIONS!B86)^25</f>
        <v>60145.529802778197</v>
      </c>
      <c r="R30" s="39">
        <f>ASSUMPTIONS!B76*12</f>
        <v>6000</v>
      </c>
      <c r="S30" s="39">
        <f t="shared" si="1"/>
        <v>245776.26168896339</v>
      </c>
      <c r="T30" s="39">
        <f>T29*(1+ASSUMPTIONS!B74)+R30+MAX(S30,0)*0.2</f>
        <v>2812337.782143028</v>
      </c>
      <c r="U30" s="40">
        <f t="shared" si="2"/>
        <v>-39194.704905079852</v>
      </c>
      <c r="V30" s="40">
        <f t="shared" si="3"/>
        <v>11687.240228481342</v>
      </c>
      <c r="W30" s="40">
        <f t="shared" si="4"/>
        <v>-16541.618327988428</v>
      </c>
      <c r="X30" s="40">
        <f t="shared" si="5"/>
        <v>451338.65039582038</v>
      </c>
      <c r="Y30" s="40">
        <f t="shared" si="6"/>
        <v>-174559.68964955048</v>
      </c>
    </row>
    <row r="31" spans="1:25" ht="15" customHeight="1">
      <c r="A31" s="34">
        <v>26</v>
      </c>
      <c r="B31" s="35">
        <v>2052</v>
      </c>
      <c r="C31" s="36" t="s">
        <v>195</v>
      </c>
      <c r="D31" s="37">
        <f>ASSUMPTIONS!B28*(1+ASSUMPTIONS!B29)^18+ASSUMPTIONS!B64*(1+ASSUMPTIONS!B66)^12</f>
        <v>423894.66278551647</v>
      </c>
      <c r="E31" s="37">
        <f>ASSUMPTIONS!B43*12*(1+ASSUMPTIONS!B44)^18</f>
        <v>10898.481969406854</v>
      </c>
      <c r="F31" s="37">
        <f>MAX((D31-E31)*(ASSUMPTIONS!B83+ASSUMPTIONS!B84),0)</f>
        <v>128028.81605299399</v>
      </c>
      <c r="G31" s="37">
        <f>ASSUMPTIONS!B35*(1+ASSUMPTIONS!B38)^18</f>
        <v>309.84281714566237</v>
      </c>
      <c r="H31" s="37">
        <f>ASSUMPTIONS!B85*12*(1+ASSUMPTIONS!B86)^26</f>
        <v>61949.895696861553</v>
      </c>
      <c r="I31" s="37">
        <f>ASSUMPTIONS!B76*12</f>
        <v>6000</v>
      </c>
      <c r="J31" s="37">
        <f t="shared" si="0"/>
        <v>238504.59018792206</v>
      </c>
      <c r="K31" s="37">
        <f>K30*(1+ASSUMPTIONS!B74)+I31+MAX(J31,0)*0.2</f>
        <v>3545834.7008541524</v>
      </c>
      <c r="L31" s="38" t="s">
        <v>192</v>
      </c>
      <c r="M31" s="39">
        <f>ASSUMPTIONS!B64*(1+ASSUMPTIONS!B66)^19</f>
        <v>463506.81871860835</v>
      </c>
      <c r="N31" s="39">
        <f>ASSUMPTIONS!B43*12*(1+ASSUMPTIONS!B44)^24</f>
        <v>12862.479570664465</v>
      </c>
      <c r="O31" s="39">
        <f>MAX((M31-N31)*(ASSUMPTIONS!B83+ASSUMPTIONS!B84),0)</f>
        <v>139699.74513586261</v>
      </c>
      <c r="P31" s="39">
        <f>ASSUMPTIONS!C36*(1+ASSUMPTIONS!C37)^19</f>
        <v>12947.103177359186</v>
      </c>
      <c r="Q31" s="39">
        <f>ASSUMPTIONS!B85*12*(1+ASSUMPTIONS!B86)^26</f>
        <v>61949.895696861553</v>
      </c>
      <c r="R31" s="39">
        <f>ASSUMPTIONS!B76*12</f>
        <v>6000</v>
      </c>
      <c r="S31" s="39">
        <f t="shared" si="1"/>
        <v>255772.55427918944</v>
      </c>
      <c r="T31" s="39">
        <f>T30*(1+ASSUMPTIONS!B74)+R31+MAX(S31,0)*0.2</f>
        <v>3066355.9377488778</v>
      </c>
      <c r="U31" s="40">
        <f t="shared" si="2"/>
        <v>-41576.15353434952</v>
      </c>
      <c r="V31" s="40">
        <f t="shared" si="3"/>
        <v>12637.260360213524</v>
      </c>
      <c r="W31" s="40">
        <f t="shared" si="4"/>
        <v>-17267.964091267379</v>
      </c>
      <c r="X31" s="40">
        <f t="shared" si="5"/>
        <v>479478.76310527464</v>
      </c>
      <c r="Y31" s="40">
        <f t="shared" si="6"/>
        <v>-191827.65374081786</v>
      </c>
    </row>
    <row r="32" spans="1:25" ht="15" customHeight="1">
      <c r="A32" s="34">
        <v>27</v>
      </c>
      <c r="B32" s="35">
        <v>2053</v>
      </c>
      <c r="C32" s="36" t="s">
        <v>195</v>
      </c>
      <c r="D32" s="37">
        <f>ASSUMPTIONS!B28*(1+ASSUMPTIONS!B29)^19+ASSUMPTIONS!B64*(1+ASSUMPTIONS!B66)^13</f>
        <v>439990.43840052956</v>
      </c>
      <c r="E32" s="37">
        <f>ASSUMPTIONS!B43*12*(1+ASSUMPTIONS!B44)^19</f>
        <v>11203.639464550246</v>
      </c>
      <c r="F32" s="37">
        <f>MAX((D32-E32)*(ASSUMPTIONS!B83+ASSUMPTIONS!B84),0)</f>
        <v>132923.9076701536</v>
      </c>
      <c r="G32" s="37">
        <f>ASSUMPTIONS!B35*(1+ASSUMPTIONS!B38)^19</f>
        <v>319.13810166003225</v>
      </c>
      <c r="H32" s="37">
        <f>ASSUMPTIONS!B85*12*(1+ASSUMPTIONS!B86)^27</f>
        <v>63808.392567767391</v>
      </c>
      <c r="I32" s="37">
        <f>ASSUMPTIONS!B76*12</f>
        <v>6000</v>
      </c>
      <c r="J32" s="37">
        <f t="shared" si="0"/>
        <v>248142.63952549882</v>
      </c>
      <c r="K32" s="37">
        <f>K31*(1+ASSUMPTIONS!B74)+I32+MAX(J32,0)*0.2</f>
        <v>3849671.6578190429</v>
      </c>
      <c r="L32" s="38" t="s">
        <v>192</v>
      </c>
      <c r="M32" s="39">
        <f>ASSUMPTIONS!B64*(1+ASSUMPTIONS!B66)^20</f>
        <v>482047.0914673527</v>
      </c>
      <c r="N32" s="39">
        <f>ASSUMPTIONS!B43*12*(1+ASSUMPTIONS!B44)^25</f>
        <v>13222.628998643071</v>
      </c>
      <c r="O32" s="39">
        <f>MAX((M32-N32)*(ASSUMPTIONS!B83+ASSUMPTIONS!B84),0)</f>
        <v>145335.58336529997</v>
      </c>
      <c r="P32" s="39">
        <f>ASSUMPTIONS!C36*(1+ASSUMPTIONS!C37)^20</f>
        <v>13982.871431547919</v>
      </c>
      <c r="Q32" s="39">
        <f>ASSUMPTIONS!B85*12*(1+ASSUMPTIONS!B86)^27</f>
        <v>63808.392567767391</v>
      </c>
      <c r="R32" s="39">
        <f>ASSUMPTIONS!B76*12</f>
        <v>6000</v>
      </c>
      <c r="S32" s="39">
        <f t="shared" si="1"/>
        <v>266142.87310138048</v>
      </c>
      <c r="T32" s="39">
        <f>T31*(1+ASSUMPTIONS!B74)+R32+MAX(S32,0)*0.2</f>
        <v>3340229.4280115757</v>
      </c>
      <c r="U32" s="40">
        <f t="shared" si="2"/>
        <v>-44075.642600915977</v>
      </c>
      <c r="V32" s="40">
        <f t="shared" si="3"/>
        <v>13663.733329887888</v>
      </c>
      <c r="W32" s="40">
        <f t="shared" si="4"/>
        <v>-18000.233575881663</v>
      </c>
      <c r="X32" s="40">
        <f t="shared" si="5"/>
        <v>509442.2298074672</v>
      </c>
      <c r="Y32" s="40">
        <f t="shared" si="6"/>
        <v>-209827.88731669952</v>
      </c>
    </row>
    <row r="33" spans="1:25" ht="15" customHeight="1">
      <c r="A33" s="34">
        <v>28</v>
      </c>
      <c r="B33" s="35">
        <v>2054</v>
      </c>
      <c r="C33" s="36" t="s">
        <v>195</v>
      </c>
      <c r="D33" s="37">
        <f>ASSUMPTIONS!B28*(1+ASSUMPTIONS!B29)^20+ASSUMPTIONS!B64*(1+ASSUMPTIONS!B66)^14</f>
        <v>456705.96473504382</v>
      </c>
      <c r="E33" s="37">
        <f>ASSUMPTIONS!B43*12*(1+ASSUMPTIONS!B44)^20</f>
        <v>11517.341369557655</v>
      </c>
      <c r="F33" s="37">
        <f>MAX((D33-E33)*(ASSUMPTIONS!B83+ASSUMPTIONS!B84),0)</f>
        <v>138008.47324330072</v>
      </c>
      <c r="G33" s="37">
        <f>ASSUMPTIONS!B35*(1+ASSUMPTIONS!B38)^20</f>
        <v>328.71224470983321</v>
      </c>
      <c r="H33" s="37">
        <f>ASSUMPTIONS!B85*12*(1+ASSUMPTIONS!B86)^28</f>
        <v>65722.644344800414</v>
      </c>
      <c r="I33" s="37">
        <f>ASSUMPTIONS!B76*12</f>
        <v>6000</v>
      </c>
      <c r="J33" s="37">
        <f t="shared" si="0"/>
        <v>258163.47627179057</v>
      </c>
      <c r="K33" s="37">
        <f>K32*(1+ASSUMPTIONS!B74)+I33+MAX(J33,0)*0.2</f>
        <v>4176781.3691207343</v>
      </c>
      <c r="L33" s="38" t="s">
        <v>192</v>
      </c>
      <c r="M33" s="39">
        <f>ASSUMPTIONS!B64*(1+ASSUMPTIONS!B66)^21</f>
        <v>501328.97512604692</v>
      </c>
      <c r="N33" s="39">
        <f>ASSUMPTIONS!B43*12*(1+ASSUMPTIONS!B44)^26</f>
        <v>13592.862610605076</v>
      </c>
      <c r="O33" s="39">
        <f>MAX((M33-N33)*(ASSUMPTIONS!B83+ASSUMPTIONS!B84),0)</f>
        <v>151198.19487978696</v>
      </c>
      <c r="P33" s="39">
        <f>ASSUMPTIONS!C36*(1+ASSUMPTIONS!C37)^21</f>
        <v>15101.501146071754</v>
      </c>
      <c r="Q33" s="39">
        <f>ASSUMPTIONS!B85*12*(1+ASSUMPTIONS!B86)^28</f>
        <v>65722.644344800414</v>
      </c>
      <c r="R33" s="39">
        <f>ASSUMPTIONS!B76*12</f>
        <v>6000</v>
      </c>
      <c r="S33" s="39">
        <f t="shared" si="1"/>
        <v>276899.49736599287</v>
      </c>
      <c r="T33" s="39">
        <f>T32*(1+ASSUMPTIONS!B74)+R33+MAX(S33,0)*0.2</f>
        <v>3635425.3874455849</v>
      </c>
      <c r="U33" s="40">
        <f t="shared" si="2"/>
        <v>-46698.531632050523</v>
      </c>
      <c r="V33" s="40">
        <f t="shared" si="3"/>
        <v>14772.788901361921</v>
      </c>
      <c r="W33" s="40">
        <f t="shared" si="4"/>
        <v>-18736.021094202297</v>
      </c>
      <c r="X33" s="40">
        <f t="shared" si="5"/>
        <v>541355.98167514941</v>
      </c>
      <c r="Y33" s="40">
        <f t="shared" si="6"/>
        <v>-228563.90841090181</v>
      </c>
    </row>
    <row r="34" spans="1:25" ht="15" customHeight="1">
      <c r="A34" s="34">
        <v>29</v>
      </c>
      <c r="B34" s="35">
        <v>2055</v>
      </c>
      <c r="C34" s="36" t="s">
        <v>195</v>
      </c>
      <c r="D34" s="37">
        <f>ASSUMPTIONS!B28*(1+ASSUMPTIONS!B29)^21+ASSUMPTIONS!B64*(1+ASSUMPTIONS!B66)^15</f>
        <v>474065.3575692965</v>
      </c>
      <c r="E34" s="37">
        <f>ASSUMPTIONS!B43*12*(1+ASSUMPTIONS!B44)^21</f>
        <v>11839.826927905267</v>
      </c>
      <c r="F34" s="37">
        <f>MAX((D34-E34)*(ASSUMPTIONS!B83+ASSUMPTIONS!B84),0)</f>
        <v>143289.91449883129</v>
      </c>
      <c r="G34" s="37">
        <f>ASSUMPTIONS!B35*(1+ASSUMPTIONS!B38)^21</f>
        <v>338.57361205112818</v>
      </c>
      <c r="H34" s="37">
        <f>ASSUMPTIONS!B85*12*(1+ASSUMPTIONS!B86)^29</f>
        <v>67694.32367514442</v>
      </c>
      <c r="I34" s="37">
        <f>ASSUMPTIONS!B76*12</f>
        <v>6000</v>
      </c>
      <c r="J34" s="37">
        <f t="shared" si="0"/>
        <v>268582.37271117489</v>
      </c>
      <c r="K34" s="37">
        <f>K33*(1+ASSUMPTIONS!B74)+I34+MAX(J34,0)*0.2</f>
        <v>4528872.5395014212</v>
      </c>
      <c r="L34" s="38" t="s">
        <v>192</v>
      </c>
      <c r="M34" s="39">
        <f>ASSUMPTIONS!B64*(1+ASSUMPTIONS!B66)^22</f>
        <v>521382.13413108874</v>
      </c>
      <c r="N34" s="39">
        <f>ASSUMPTIONS!B43*12*(1+ASSUMPTIONS!B44)^27</f>
        <v>13973.462763702018</v>
      </c>
      <c r="O34" s="39">
        <f>MAX((M34-N34)*(ASSUMPTIONS!B83+ASSUMPTIONS!B84),0)</f>
        <v>157296.68812388988</v>
      </c>
      <c r="P34" s="39">
        <f>ASSUMPTIONS!C36*(1+ASSUMPTIONS!C37)^22</f>
        <v>16309.621237757496</v>
      </c>
      <c r="Q34" s="39">
        <f>ASSUMPTIONS!B85*12*(1+ASSUMPTIONS!B86)^29</f>
        <v>67694.32367514442</v>
      </c>
      <c r="R34" s="39">
        <f>ASSUMPTIONS!B76*12</f>
        <v>6000</v>
      </c>
      <c r="S34" s="39">
        <f t="shared" si="1"/>
        <v>288054.96385799901</v>
      </c>
      <c r="T34" s="39">
        <f>T33*(1+ASSUMPTIONS!B74)+R34+MAX(S34,0)*0.2</f>
        <v>3953516.1573383762</v>
      </c>
      <c r="U34" s="40">
        <f t="shared" si="2"/>
        <v>-49450.412397589011</v>
      </c>
      <c r="V34" s="40">
        <f t="shared" si="3"/>
        <v>15971.047625706367</v>
      </c>
      <c r="W34" s="40">
        <f t="shared" si="4"/>
        <v>-19472.591146824125</v>
      </c>
      <c r="X34" s="40">
        <f t="shared" si="5"/>
        <v>575356.382163045</v>
      </c>
      <c r="Y34" s="40">
        <f t="shared" si="6"/>
        <v>-248036.49955772594</v>
      </c>
    </row>
    <row r="35" spans="1:25" ht="15" customHeight="1">
      <c r="A35" s="34">
        <v>30</v>
      </c>
      <c r="B35" s="35">
        <v>2056</v>
      </c>
      <c r="C35" s="36" t="s">
        <v>195</v>
      </c>
      <c r="D35" s="37">
        <f>ASSUMPTIONS!B28*(1+ASSUMPTIONS!B29)^22+ASSUMPTIONS!B64*(1+ASSUMPTIONS!B66)^16</f>
        <v>492093.6784357751</v>
      </c>
      <c r="E35" s="37">
        <f>ASSUMPTIONS!B43*12*(1+ASSUMPTIONS!B44)^22</f>
        <v>12171.342081886616</v>
      </c>
      <c r="F35" s="37">
        <f>MAX((D35-E35)*(ASSUMPTIONS!B83+ASSUMPTIONS!B84),0)</f>
        <v>148775.92426970543</v>
      </c>
      <c r="G35" s="37">
        <f>ASSUMPTIONS!B35*(1+ASSUMPTIONS!B38)^22</f>
        <v>348.73082041266207</v>
      </c>
      <c r="H35" s="37">
        <f>ASSUMPTIONS!B85*12*(1+ASSUMPTIONS!B86)^30</f>
        <v>69725.153385398749</v>
      </c>
      <c r="I35" s="37">
        <f>ASSUMPTIONS!B76*12</f>
        <v>6000</v>
      </c>
      <c r="J35" s="37">
        <f t="shared" si="0"/>
        <v>279415.21204214485</v>
      </c>
      <c r="K35" s="37">
        <f>K34*(1+ASSUMPTIONS!B74)+I35+MAX(J35,0)*0.2</f>
        <v>4907776.6596749499</v>
      </c>
      <c r="L35" s="38" t="s">
        <v>192</v>
      </c>
      <c r="M35" s="39">
        <f>ASSUMPTIONS!B64*(1+ASSUMPTIONS!B66)^23</f>
        <v>542237.4194963323</v>
      </c>
      <c r="N35" s="39">
        <f>ASSUMPTIONS!B43*12*(1+ASSUMPTIONS!B44)^28</f>
        <v>14364.719721085678</v>
      </c>
      <c r="O35" s="39">
        <f>MAX((M35-N35)*(ASSUMPTIONS!B83+ASSUMPTIONS!B84),0)</f>
        <v>163640.53693032646</v>
      </c>
      <c r="P35" s="39">
        <f>ASSUMPTIONS!C36*(1+ASSUMPTIONS!C37)^23</f>
        <v>17614.390936778098</v>
      </c>
      <c r="Q35" s="39">
        <f>ASSUMPTIONS!B85*12*(1+ASSUMPTIONS!B86)^30</f>
        <v>69725.153385398749</v>
      </c>
      <c r="R35" s="39">
        <f>ASSUMPTIONS!B76*12</f>
        <v>6000</v>
      </c>
      <c r="S35" s="39">
        <f t="shared" si="1"/>
        <v>299622.05796491459</v>
      </c>
      <c r="T35" s="39">
        <f>T34*(1+ASSUMPTIONS!B74)+R35+MAX(S35,0)*0.2</f>
        <v>4296186.6999450456</v>
      </c>
      <c r="U35" s="40">
        <f t="shared" si="2"/>
        <v>-52337.118699756218</v>
      </c>
      <c r="V35" s="40">
        <f t="shared" si="3"/>
        <v>17265.660116365434</v>
      </c>
      <c r="W35" s="40">
        <f t="shared" si="4"/>
        <v>-20206.845922769746</v>
      </c>
      <c r="X35" s="40">
        <f t="shared" si="5"/>
        <v>611589.95972990431</v>
      </c>
      <c r="Y35" s="40">
        <f t="shared" si="6"/>
        <v>-268243.34548049571</v>
      </c>
    </row>
    <row r="37" spans="1:25" ht="15" customHeight="1">
      <c r="A37" s="41" t="s">
        <v>196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spans="1:25" ht="15" customHeight="1">
      <c r="A38" s="43" t="s">
        <v>197</v>
      </c>
      <c r="D38" s="44">
        <f>SUM(D5:D35)</f>
        <v>7817512.9377754014</v>
      </c>
      <c r="M38" s="45">
        <f>SUM(M5:M35)</f>
        <v>9006893.3229046278</v>
      </c>
      <c r="U38" s="46">
        <f>D38-M38</f>
        <v>-1189380.3851292264</v>
      </c>
    </row>
    <row r="39" spans="1:25" ht="15" customHeight="1">
      <c r="A39" s="43" t="s">
        <v>198</v>
      </c>
      <c r="E39" s="44">
        <f>SUM(E5:E35)</f>
        <v>760546.70725638187</v>
      </c>
      <c r="N39" s="45">
        <f>SUM(N5:N35)</f>
        <v>490639.0049027169</v>
      </c>
      <c r="U39" s="46">
        <f>E39-N39</f>
        <v>269907.70235366496</v>
      </c>
    </row>
    <row r="40" spans="1:25" ht="15" customHeight="1">
      <c r="A40" s="43" t="s">
        <v>199</v>
      </c>
      <c r="F40" s="44">
        <f>SUM(F5:F35)</f>
        <v>2078460.9794152211</v>
      </c>
      <c r="O40" s="45">
        <f>SUM(O5:O35)</f>
        <v>2619965.9638979542</v>
      </c>
      <c r="U40" s="46">
        <f>O40-F40</f>
        <v>541504.98448273307</v>
      </c>
    </row>
    <row r="41" spans="1:25" ht="15" customHeight="1">
      <c r="A41" s="43" t="s">
        <v>200</v>
      </c>
      <c r="G41" s="44">
        <f>SUM(G5:G35)</f>
        <v>5769.9248341680677</v>
      </c>
      <c r="P41" s="45">
        <f>SUM(P5:P35)</f>
        <v>210294.27764650423</v>
      </c>
      <c r="V41" s="46">
        <f>P41-G41</f>
        <v>204524.35281233615</v>
      </c>
    </row>
    <row r="42" spans="1:25" ht="15" customHeight="1">
      <c r="A42" s="43" t="s">
        <v>201</v>
      </c>
      <c r="D42" s="44">
        <f>IF(ASSUMPTIONS!B29&gt;0,ASSUMPTIONS!B28*((1+ASSUMPTIONS!B29)^22-1)/ASSUMPTIONS!B29,ASSUMPTIONS!B28*22)</f>
        <v>1301493.0134211602</v>
      </c>
    </row>
    <row r="43" spans="1:25" ht="15" customHeight="1">
      <c r="A43" s="43" t="s">
        <v>202</v>
      </c>
      <c r="K43" s="44">
        <f>K35</f>
        <v>4907776.6596749499</v>
      </c>
      <c r="T43" s="45">
        <f>T35</f>
        <v>4296186.6999450456</v>
      </c>
      <c r="X43" s="46">
        <f>K35-T35</f>
        <v>611589.95972990431</v>
      </c>
    </row>
    <row r="44" spans="1:25" ht="15" customHeight="1">
      <c r="A44" s="43" t="s">
        <v>203</v>
      </c>
      <c r="Y44" s="46">
        <f>Y35</f>
        <v>-268243.34548049571</v>
      </c>
    </row>
    <row r="45" spans="1:25" ht="15" customHeight="1">
      <c r="A45" s="47" t="s">
        <v>204</v>
      </c>
      <c r="Y45" s="48">
        <f>IFERROR(INDEX(B5:B35,MATCH(TRUE(),INDEX(Y5:Y35&lt;0,0),0)),"Path A leads all 30 yrs")</f>
        <v>2039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74"/>
  <sheetViews>
    <sheetView topLeftCell="A16" zoomScaleNormal="100" workbookViewId="0">
      <selection activeCell="Q72" sqref="Q72"/>
    </sheetView>
  </sheetViews>
  <sheetFormatPr baseColWidth="10" defaultColWidth="8.6640625" defaultRowHeight="16"/>
  <sheetData>
    <row r="1" spans="1:1" ht="29.25" customHeight="1">
      <c r="A1" s="49" t="s">
        <v>205</v>
      </c>
    </row>
    <row r="2" spans="1:1" ht="29.25" customHeight="1">
      <c r="A2" s="50" t="s">
        <v>206</v>
      </c>
    </row>
    <row r="19" spans="1:1" ht="29.25" customHeight="1">
      <c r="A19" s="49" t="s">
        <v>207</v>
      </c>
    </row>
    <row r="20" spans="1:1" ht="29.25" customHeight="1">
      <c r="A20" s="50" t="s">
        <v>208</v>
      </c>
    </row>
    <row r="37" spans="1:1" ht="29.25" customHeight="1">
      <c r="A37" s="49" t="s">
        <v>209</v>
      </c>
    </row>
    <row r="38" spans="1:1" ht="29.25" customHeight="1">
      <c r="A38" s="50" t="s">
        <v>210</v>
      </c>
    </row>
    <row r="55" spans="1:1" ht="29.25" customHeight="1">
      <c r="A55" s="49" t="s">
        <v>211</v>
      </c>
    </row>
    <row r="56" spans="1:1" ht="29.25" customHeight="1">
      <c r="A56" s="50" t="s">
        <v>212</v>
      </c>
    </row>
    <row r="73" spans="1:1" ht="29.25" customHeight="1">
      <c r="A73" s="49" t="s">
        <v>213</v>
      </c>
    </row>
    <row r="74" spans="1:1" ht="29.25" customHeight="1">
      <c r="A74" s="50" t="s">
        <v>214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zoomScale="130" zoomScaleNormal="130" workbookViewId="0">
      <selection activeCell="C16" sqref="C16"/>
    </sheetView>
  </sheetViews>
  <sheetFormatPr baseColWidth="10" defaultColWidth="10.6640625" defaultRowHeight="16"/>
  <cols>
    <col min="1" max="1" width="17.6640625" customWidth="1"/>
  </cols>
  <sheetData>
    <row r="1" spans="1:8" ht="36.75" customHeight="1">
      <c r="A1" s="102" t="s">
        <v>215</v>
      </c>
      <c r="B1" s="102"/>
      <c r="C1" s="102"/>
      <c r="D1" s="102"/>
      <c r="E1" s="102"/>
      <c r="F1" s="102"/>
      <c r="G1" s="102"/>
      <c r="H1" s="102"/>
    </row>
    <row r="2" spans="1:8" ht="15.75" customHeight="1">
      <c r="A2" s="103" t="s">
        <v>216</v>
      </c>
      <c r="B2" s="103"/>
      <c r="C2" s="103"/>
      <c r="D2" s="103"/>
      <c r="E2" s="103"/>
      <c r="F2" s="103"/>
      <c r="G2" s="103"/>
      <c r="H2" s="103"/>
    </row>
    <row r="3" spans="1:8" ht="15.75" customHeight="1">
      <c r="A3" s="101" t="s">
        <v>217</v>
      </c>
      <c r="B3" s="101"/>
      <c r="C3" s="101"/>
      <c r="D3" s="101"/>
      <c r="E3" s="101"/>
      <c r="F3" s="101"/>
      <c r="G3" s="101"/>
      <c r="H3" s="101"/>
    </row>
    <row r="4" spans="1:8" ht="84" customHeight="1">
      <c r="A4" s="100"/>
      <c r="B4" s="100"/>
      <c r="C4" s="100"/>
      <c r="D4" s="100"/>
      <c r="E4" s="100"/>
      <c r="F4" s="100"/>
      <c r="G4" s="100"/>
      <c r="H4" s="100"/>
    </row>
    <row r="5" spans="1:8" ht="15.75" customHeight="1">
      <c r="A5" s="101" t="s">
        <v>218</v>
      </c>
      <c r="B5" s="101"/>
      <c r="C5" s="101"/>
      <c r="D5" s="101"/>
      <c r="E5" s="101"/>
      <c r="F5" s="101"/>
      <c r="G5" s="101"/>
      <c r="H5" s="101"/>
    </row>
    <row r="6" spans="1:8" ht="84" customHeight="1">
      <c r="A6" s="100"/>
      <c r="B6" s="100"/>
      <c r="C6" s="100"/>
      <c r="D6" s="100"/>
      <c r="E6" s="100"/>
      <c r="F6" s="100"/>
      <c r="G6" s="100"/>
      <c r="H6" s="100"/>
    </row>
    <row r="7" spans="1:8" ht="15.75" customHeight="1">
      <c r="A7" s="101" t="s">
        <v>219</v>
      </c>
      <c r="B7" s="101"/>
      <c r="C7" s="101"/>
      <c r="D7" s="101"/>
      <c r="E7" s="101"/>
      <c r="F7" s="101"/>
      <c r="G7" s="101"/>
      <c r="H7" s="101"/>
    </row>
    <row r="8" spans="1:8" ht="84" customHeight="1">
      <c r="A8" s="100"/>
      <c r="B8" s="100"/>
      <c r="C8" s="100"/>
      <c r="D8" s="100"/>
      <c r="E8" s="100"/>
      <c r="F8" s="100"/>
      <c r="G8" s="100"/>
      <c r="H8" s="100"/>
    </row>
  </sheetData>
  <mergeCells count="8">
    <mergeCell ref="A6:H6"/>
    <mergeCell ref="A7:H7"/>
    <mergeCell ref="A8:H8"/>
    <mergeCell ref="A1:H1"/>
    <mergeCell ref="A2:H2"/>
    <mergeCell ref="A3:H3"/>
    <mergeCell ref="A4:H4"/>
    <mergeCell ref="A5:H5"/>
  </mergeCell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2"/>
  <sheetViews>
    <sheetView tabSelected="1" zoomScale="70" zoomScaleNormal="70" workbookViewId="0">
      <selection activeCell="B57" sqref="B57"/>
    </sheetView>
  </sheetViews>
  <sheetFormatPr baseColWidth="10" defaultColWidth="10.6640625" defaultRowHeight="16"/>
  <cols>
    <col min="1" max="4" width="33.33203125" customWidth="1"/>
  </cols>
  <sheetData>
    <row r="1" spans="1:4" ht="30" customHeight="1">
      <c r="A1" s="106" t="s">
        <v>220</v>
      </c>
      <c r="B1" s="106"/>
      <c r="C1" s="106"/>
    </row>
    <row r="2" spans="1:4" ht="15.75" customHeight="1">
      <c r="A2" s="107" t="s">
        <v>221</v>
      </c>
      <c r="B2" s="3" t="s">
        <v>222</v>
      </c>
      <c r="C2" s="3" t="s">
        <v>223</v>
      </c>
      <c r="D2" s="3" t="s">
        <v>223</v>
      </c>
    </row>
    <row r="3" spans="1:4" ht="24.75" customHeight="1">
      <c r="A3" s="107"/>
      <c r="B3" s="51"/>
      <c r="C3" s="51"/>
      <c r="D3" s="51"/>
    </row>
    <row r="4" spans="1:4" ht="19.5" customHeight="1">
      <c r="A4" s="108" t="s">
        <v>224</v>
      </c>
      <c r="B4" s="108"/>
      <c r="C4" s="108"/>
    </row>
    <row r="5" spans="1:4" ht="15.75" customHeight="1">
      <c r="A5" s="3" t="s">
        <v>225</v>
      </c>
      <c r="B5" s="3" t="s">
        <v>226</v>
      </c>
      <c r="C5" s="3" t="s">
        <v>227</v>
      </c>
      <c r="D5" s="3" t="s">
        <v>228</v>
      </c>
    </row>
    <row r="6" spans="1:4" ht="15.75" customHeight="1">
      <c r="A6" s="1" t="s">
        <v>229</v>
      </c>
      <c r="B6" s="52">
        <v>5591.66</v>
      </c>
      <c r="C6" s="52">
        <v>9803.15</v>
      </c>
      <c r="D6" s="52">
        <v>3333</v>
      </c>
    </row>
    <row r="7" spans="1:4" ht="15.75" customHeight="1">
      <c r="A7" s="1" t="s">
        <v>230</v>
      </c>
      <c r="B7" s="52">
        <v>2741.66</v>
      </c>
      <c r="C7" s="52"/>
      <c r="D7" s="52"/>
    </row>
    <row r="8" spans="1:4" ht="15.75" customHeight="1">
      <c r="A8" s="1" t="s">
        <v>231</v>
      </c>
      <c r="B8" s="52">
        <v>477</v>
      </c>
      <c r="C8" s="52"/>
      <c r="D8" s="52"/>
    </row>
    <row r="9" spans="1:4" ht="15.75" customHeight="1">
      <c r="A9" s="1" t="s">
        <v>232</v>
      </c>
      <c r="B9" s="52">
        <v>0</v>
      </c>
      <c r="C9" s="52"/>
      <c r="D9" s="52"/>
    </row>
    <row r="10" spans="1:4" ht="15.75" customHeight="1">
      <c r="A10" s="1" t="s">
        <v>233</v>
      </c>
      <c r="B10" s="52">
        <v>0</v>
      </c>
      <c r="C10" s="52"/>
      <c r="D10" s="52"/>
    </row>
    <row r="11" spans="1:4" ht="15.75" customHeight="1">
      <c r="A11" s="1" t="s">
        <v>234</v>
      </c>
      <c r="B11" s="52">
        <v>0</v>
      </c>
      <c r="C11" s="52"/>
      <c r="D11" s="52"/>
    </row>
    <row r="12" spans="1:4" ht="15.75" customHeight="1">
      <c r="A12" s="1" t="s">
        <v>235</v>
      </c>
      <c r="B12" s="52">
        <v>0</v>
      </c>
      <c r="C12" s="52"/>
      <c r="D12" s="52"/>
    </row>
    <row r="13" spans="1:4" ht="15.75" customHeight="1">
      <c r="A13" s="1" t="s">
        <v>236</v>
      </c>
      <c r="B13" s="52">
        <v>0</v>
      </c>
      <c r="C13" s="52"/>
      <c r="D13" s="52"/>
    </row>
    <row r="14" spans="1:4" ht="15.75" customHeight="1">
      <c r="A14" s="1" t="s">
        <v>237</v>
      </c>
      <c r="B14" s="52">
        <v>0</v>
      </c>
      <c r="C14" s="52"/>
      <c r="D14" s="52"/>
    </row>
    <row r="15" spans="1:4" ht="15.75" customHeight="1">
      <c r="A15" s="1" t="s">
        <v>238</v>
      </c>
      <c r="B15" s="52">
        <v>0</v>
      </c>
      <c r="C15" s="52"/>
      <c r="D15" s="52"/>
    </row>
    <row r="16" spans="1:4" ht="15.75" customHeight="1">
      <c r="A16" s="1" t="s">
        <v>239</v>
      </c>
      <c r="B16" s="52">
        <v>0</v>
      </c>
      <c r="C16" s="52"/>
      <c r="D16" s="52"/>
    </row>
    <row r="17" spans="1:4" ht="15.75" customHeight="1">
      <c r="A17" s="1" t="s">
        <v>240</v>
      </c>
      <c r="B17" s="52">
        <v>0</v>
      </c>
      <c r="C17" s="52"/>
      <c r="D17" s="52"/>
    </row>
    <row r="18" spans="1:4" ht="15.75" customHeight="1">
      <c r="A18" s="1" t="s">
        <v>241</v>
      </c>
      <c r="B18" s="52">
        <v>0</v>
      </c>
      <c r="C18" s="52"/>
      <c r="D18" s="52"/>
    </row>
    <row r="19" spans="1:4" ht="15.75" customHeight="1">
      <c r="A19" s="1" t="s">
        <v>242</v>
      </c>
      <c r="B19" s="52">
        <v>0</v>
      </c>
      <c r="C19" s="52"/>
      <c r="D19" s="52"/>
    </row>
    <row r="20" spans="1:4" ht="15.75" customHeight="1">
      <c r="A20" s="1" t="s">
        <v>243</v>
      </c>
      <c r="B20" s="52">
        <v>0</v>
      </c>
      <c r="C20" s="52"/>
      <c r="D20" s="52"/>
    </row>
    <row r="21" spans="1:4" ht="15.75" customHeight="1">
      <c r="A21" s="53"/>
      <c r="B21" s="52"/>
      <c r="C21" s="52"/>
      <c r="D21" s="52"/>
    </row>
    <row r="22" spans="1:4" ht="15.75" customHeight="1">
      <c r="A22" s="53"/>
      <c r="B22" s="52"/>
      <c r="C22" s="52"/>
      <c r="D22" s="52"/>
    </row>
    <row r="23" spans="1:4" ht="15.75" customHeight="1">
      <c r="A23" s="53"/>
      <c r="B23" s="52"/>
      <c r="C23" s="52"/>
      <c r="D23" s="52"/>
    </row>
    <row r="24" spans="1:4" ht="15.75" customHeight="1">
      <c r="A24" s="54" t="s">
        <v>244</v>
      </c>
      <c r="B24" s="55">
        <f>SUM(B6:B23)</f>
        <v>8810.32</v>
      </c>
      <c r="C24" s="55">
        <f>SUM(C6:C23)</f>
        <v>9803.15</v>
      </c>
      <c r="D24" s="55">
        <f>SUM(D6:D23)</f>
        <v>3333</v>
      </c>
    </row>
    <row r="25" spans="1:4" ht="15.75" customHeight="1">
      <c r="A25" s="105"/>
      <c r="B25" s="105"/>
      <c r="C25" s="105"/>
    </row>
    <row r="26" spans="1:4" ht="15.75" customHeight="1">
      <c r="A26" s="3" t="s">
        <v>245</v>
      </c>
      <c r="B26" s="3" t="s">
        <v>226</v>
      </c>
      <c r="C26" s="3" t="s">
        <v>227</v>
      </c>
      <c r="D26" s="3" t="s">
        <v>228</v>
      </c>
    </row>
    <row r="27" spans="1:4" ht="15.75" customHeight="1">
      <c r="A27" s="1" t="s">
        <v>246</v>
      </c>
      <c r="B27" s="52">
        <v>467.6</v>
      </c>
      <c r="C27" s="52">
        <v>1238.42</v>
      </c>
      <c r="D27" s="52"/>
    </row>
    <row r="28" spans="1:4" ht="15.75" customHeight="1">
      <c r="A28" s="1" t="s">
        <v>247</v>
      </c>
      <c r="B28" s="52">
        <v>284.27999999999997</v>
      </c>
      <c r="C28" s="52">
        <v>749.92</v>
      </c>
      <c r="D28" s="52"/>
    </row>
    <row r="29" spans="1:4" ht="15.75" customHeight="1">
      <c r="A29" s="1" t="s">
        <v>248</v>
      </c>
      <c r="B29" s="52">
        <v>66.489999999999995</v>
      </c>
      <c r="C29" s="52"/>
      <c r="D29" s="52"/>
    </row>
    <row r="30" spans="1:4" ht="15.75" customHeight="1">
      <c r="A30" s="1" t="s">
        <v>249</v>
      </c>
      <c r="B30" s="52">
        <v>240.08</v>
      </c>
      <c r="C30" s="52">
        <v>478.75</v>
      </c>
      <c r="D30" s="52"/>
    </row>
    <row r="31" spans="1:4" ht="15.75" customHeight="1">
      <c r="A31" s="1" t="s">
        <v>250</v>
      </c>
      <c r="B31" s="52">
        <v>0.5</v>
      </c>
      <c r="C31" s="52">
        <v>0</v>
      </c>
      <c r="D31" s="52"/>
    </row>
    <row r="32" spans="1:4" ht="15.75" customHeight="1">
      <c r="A32" s="1" t="s">
        <v>251</v>
      </c>
      <c r="B32" s="52">
        <v>31</v>
      </c>
      <c r="C32" s="52"/>
      <c r="D32" s="52"/>
    </row>
    <row r="33" spans="1:5" ht="15.75" customHeight="1">
      <c r="A33" s="1" t="s">
        <v>252</v>
      </c>
      <c r="B33" s="52">
        <v>0</v>
      </c>
      <c r="C33" s="52"/>
      <c r="D33" s="52"/>
    </row>
    <row r="34" spans="1:5" ht="15.75" customHeight="1">
      <c r="A34" s="1" t="s">
        <v>253</v>
      </c>
      <c r="B34" s="52"/>
      <c r="C34" s="52">
        <v>0</v>
      </c>
      <c r="D34" s="52"/>
      <c r="E34" s="56"/>
    </row>
    <row r="35" spans="1:5" ht="15.75" customHeight="1">
      <c r="A35" s="1" t="s">
        <v>254</v>
      </c>
      <c r="B35" s="52">
        <v>0</v>
      </c>
      <c r="C35" s="52"/>
      <c r="D35" s="52"/>
    </row>
    <row r="36" spans="1:5" ht="15.75" customHeight="1">
      <c r="A36" s="1" t="s">
        <v>255</v>
      </c>
      <c r="B36" s="52">
        <v>0</v>
      </c>
      <c r="C36" s="52"/>
      <c r="D36" s="52"/>
    </row>
    <row r="37" spans="1:5" ht="15.75" customHeight="1">
      <c r="A37" s="1" t="s">
        <v>256</v>
      </c>
      <c r="B37" s="52">
        <v>0</v>
      </c>
      <c r="C37" s="52"/>
      <c r="D37" s="52"/>
    </row>
    <row r="38" spans="1:5" ht="15.75" customHeight="1">
      <c r="A38" s="1" t="s">
        <v>257</v>
      </c>
      <c r="B38" s="52">
        <v>0</v>
      </c>
      <c r="C38" s="52"/>
      <c r="D38" s="52"/>
    </row>
    <row r="39" spans="1:5" ht="15.75" customHeight="1">
      <c r="A39" s="1" t="s">
        <v>258</v>
      </c>
      <c r="B39" s="52">
        <v>0</v>
      </c>
      <c r="C39" s="52"/>
      <c r="D39" s="52"/>
    </row>
    <row r="40" spans="1:5" ht="15.75" customHeight="1">
      <c r="A40" s="53" t="s">
        <v>259</v>
      </c>
      <c r="B40" s="52"/>
      <c r="C40" s="52">
        <v>541.66999999999996</v>
      </c>
      <c r="D40" s="52"/>
      <c r="E40" s="56" t="s">
        <v>260</v>
      </c>
    </row>
    <row r="41" spans="1:5" ht="15.75" customHeight="1">
      <c r="A41" s="53"/>
      <c r="B41" s="52"/>
      <c r="C41" s="52"/>
      <c r="D41" s="52"/>
    </row>
    <row r="42" spans="1:5" ht="15.75" customHeight="1">
      <c r="A42" s="53"/>
      <c r="B42" s="52"/>
      <c r="C42" s="52"/>
      <c r="D42" s="52"/>
    </row>
    <row r="43" spans="1:5" ht="15.75" customHeight="1">
      <c r="A43" s="53"/>
      <c r="B43" s="52"/>
      <c r="C43" s="52"/>
      <c r="D43" s="52"/>
    </row>
    <row r="44" spans="1:5" ht="15.75" customHeight="1">
      <c r="A44" s="53"/>
      <c r="B44" s="52"/>
      <c r="C44" s="52"/>
      <c r="D44" s="52"/>
    </row>
    <row r="45" spans="1:5" ht="15.75" customHeight="1">
      <c r="A45" s="54" t="s">
        <v>245</v>
      </c>
      <c r="B45" s="55">
        <f>SUM(B27:B44)</f>
        <v>1089.95</v>
      </c>
      <c r="C45" s="55">
        <f>SUM(C27:C44)</f>
        <v>3008.76</v>
      </c>
      <c r="D45" s="55">
        <f>SUM(D27:D44)</f>
        <v>0</v>
      </c>
    </row>
    <row r="46" spans="1:5" ht="15.75" customHeight="1">
      <c r="A46" s="105"/>
      <c r="B46" s="105"/>
      <c r="C46" s="105"/>
    </row>
    <row r="47" spans="1:5" ht="15.75" customHeight="1">
      <c r="A47" s="54" t="s">
        <v>261</v>
      </c>
      <c r="B47" s="55">
        <f>B24-B45</f>
        <v>7720.37</v>
      </c>
      <c r="C47" s="55">
        <f>C24-C45</f>
        <v>6794.3899999999994</v>
      </c>
      <c r="D47" s="55">
        <f>D24-D45</f>
        <v>3333</v>
      </c>
    </row>
    <row r="49" spans="1:4" ht="15.75" customHeight="1">
      <c r="A49" s="104" t="s">
        <v>262</v>
      </c>
      <c r="B49" s="104"/>
      <c r="C49" s="104"/>
    </row>
    <row r="50" spans="1:4" ht="15.75" customHeight="1">
      <c r="A50" s="3" t="s">
        <v>225</v>
      </c>
      <c r="B50" s="3" t="s">
        <v>226</v>
      </c>
      <c r="C50" s="3" t="s">
        <v>227</v>
      </c>
      <c r="D50" s="3" t="s">
        <v>228</v>
      </c>
    </row>
    <row r="51" spans="1:4" ht="15.75" customHeight="1">
      <c r="A51" s="1" t="s">
        <v>263</v>
      </c>
      <c r="B51" s="52"/>
      <c r="C51" s="52"/>
      <c r="D51" s="52"/>
    </row>
    <row r="52" spans="1:4" ht="15.75" customHeight="1">
      <c r="A52" s="1" t="s">
        <v>230</v>
      </c>
      <c r="B52" s="57"/>
      <c r="C52" s="52"/>
      <c r="D52" s="52"/>
    </row>
    <row r="53" spans="1:4" ht="15.75" customHeight="1">
      <c r="A53" s="1" t="s">
        <v>231</v>
      </c>
      <c r="B53" s="52"/>
      <c r="C53" s="52"/>
      <c r="D53" s="52"/>
    </row>
    <row r="54" spans="1:4" ht="15.75" customHeight="1">
      <c r="A54" s="1" t="s">
        <v>232</v>
      </c>
      <c r="B54" s="52"/>
      <c r="C54" s="52"/>
      <c r="D54" s="52"/>
    </row>
    <row r="55" spans="1:4" ht="15.75" customHeight="1">
      <c r="A55" s="1" t="s">
        <v>233</v>
      </c>
      <c r="B55" s="52"/>
      <c r="C55" s="52"/>
      <c r="D55" s="52"/>
    </row>
    <row r="56" spans="1:4" ht="15.75" customHeight="1">
      <c r="A56" s="1" t="s">
        <v>234</v>
      </c>
      <c r="B56" s="52"/>
      <c r="C56" s="52"/>
      <c r="D56" s="52"/>
    </row>
    <row r="57" spans="1:4" ht="15.75" customHeight="1">
      <c r="A57" s="1" t="s">
        <v>235</v>
      </c>
      <c r="B57" s="52"/>
      <c r="C57" s="52"/>
      <c r="D57" s="52"/>
    </row>
    <row r="58" spans="1:4" ht="15.75" customHeight="1">
      <c r="A58" s="1" t="s">
        <v>236</v>
      </c>
      <c r="B58" s="52"/>
      <c r="C58" s="52"/>
      <c r="D58" s="52"/>
    </row>
    <row r="59" spans="1:4" ht="15.75" customHeight="1">
      <c r="A59" s="1" t="s">
        <v>237</v>
      </c>
      <c r="B59" s="52"/>
      <c r="C59" s="52"/>
      <c r="D59" s="52"/>
    </row>
    <row r="60" spans="1:4" ht="15.75" customHeight="1">
      <c r="A60" s="1" t="s">
        <v>238</v>
      </c>
      <c r="B60" s="52"/>
      <c r="C60" s="52"/>
      <c r="D60" s="52"/>
    </row>
    <row r="61" spans="1:4" ht="15.75" customHeight="1">
      <c r="A61" s="1" t="s">
        <v>240</v>
      </c>
      <c r="B61" s="52"/>
      <c r="C61" s="52"/>
      <c r="D61" s="52"/>
    </row>
    <row r="62" spans="1:4" ht="15.75" customHeight="1">
      <c r="A62" s="1" t="s">
        <v>241</v>
      </c>
      <c r="B62" s="52"/>
      <c r="C62" s="52"/>
      <c r="D62" s="52"/>
    </row>
    <row r="63" spans="1:4" ht="15.75" customHeight="1">
      <c r="A63" s="1" t="s">
        <v>242</v>
      </c>
      <c r="B63" s="52"/>
      <c r="C63" s="52"/>
      <c r="D63" s="52"/>
    </row>
    <row r="64" spans="1:4" ht="15.75" customHeight="1">
      <c r="A64" s="1" t="s">
        <v>243</v>
      </c>
      <c r="B64" s="52"/>
      <c r="C64" s="52"/>
      <c r="D64" s="52"/>
    </row>
    <row r="65" spans="1:4" ht="15.75" customHeight="1">
      <c r="A65" s="1" t="s">
        <v>264</v>
      </c>
      <c r="B65" s="52"/>
      <c r="C65" s="52"/>
      <c r="D65" s="52"/>
    </row>
    <row r="66" spans="1:4" ht="15.75" customHeight="1">
      <c r="A66" s="53"/>
      <c r="B66" s="52"/>
      <c r="C66" s="52"/>
      <c r="D66" s="52"/>
    </row>
    <row r="67" spans="1:4" ht="15.75" customHeight="1">
      <c r="A67" s="53"/>
      <c r="B67" s="52"/>
      <c r="C67" s="52"/>
      <c r="D67" s="52"/>
    </row>
    <row r="68" spans="1:4" ht="15.75" customHeight="1">
      <c r="A68" s="53"/>
      <c r="B68" s="52"/>
      <c r="C68" s="52"/>
      <c r="D68" s="52"/>
    </row>
    <row r="69" spans="1:4" ht="15.75" customHeight="1">
      <c r="A69" s="53"/>
      <c r="B69" s="52"/>
      <c r="C69" s="52"/>
      <c r="D69" s="52"/>
    </row>
    <row r="70" spans="1:4" ht="15.75" customHeight="1">
      <c r="A70" s="54" t="s">
        <v>265</v>
      </c>
      <c r="B70" s="55">
        <f>SUM(B51:B69)</f>
        <v>0</v>
      </c>
      <c r="C70" s="55">
        <f>SUM(C51:C69)</f>
        <v>0</v>
      </c>
      <c r="D70" s="55">
        <f>SUM(D51:D69)</f>
        <v>0</v>
      </c>
    </row>
    <row r="71" spans="1:4" ht="15.75" customHeight="1">
      <c r="A71" s="105"/>
      <c r="B71" s="105"/>
      <c r="C71" s="105"/>
    </row>
    <row r="72" spans="1:4" ht="15.75" customHeight="1">
      <c r="A72" s="3" t="s">
        <v>245</v>
      </c>
      <c r="B72" s="3" t="s">
        <v>226</v>
      </c>
      <c r="C72" s="3" t="s">
        <v>227</v>
      </c>
      <c r="D72" s="3" t="s">
        <v>228</v>
      </c>
    </row>
    <row r="73" spans="1:4" ht="15.75" customHeight="1">
      <c r="A73" s="1" t="s">
        <v>246</v>
      </c>
      <c r="B73" s="52"/>
      <c r="C73" s="52"/>
      <c r="D73" s="52"/>
    </row>
    <row r="74" spans="1:4" ht="15.75" customHeight="1">
      <c r="A74" s="1" t="s">
        <v>247</v>
      </c>
      <c r="B74" s="52"/>
      <c r="C74" s="52"/>
      <c r="D74" s="52"/>
    </row>
    <row r="75" spans="1:4" ht="15.75" customHeight="1">
      <c r="A75" s="1" t="s">
        <v>248</v>
      </c>
      <c r="B75" s="52"/>
      <c r="C75" s="52"/>
      <c r="D75" s="52"/>
    </row>
    <row r="76" spans="1:4" ht="15.75" customHeight="1">
      <c r="A76" s="1" t="s">
        <v>249</v>
      </c>
      <c r="B76" s="52"/>
      <c r="C76" s="52"/>
      <c r="D76" s="52"/>
    </row>
    <row r="77" spans="1:4" ht="15.75" customHeight="1">
      <c r="A77" s="1" t="s">
        <v>250</v>
      </c>
      <c r="B77" s="52"/>
      <c r="C77" s="52"/>
      <c r="D77" s="52"/>
    </row>
    <row r="78" spans="1:4" ht="15.75" customHeight="1">
      <c r="A78" s="1" t="s">
        <v>251</v>
      </c>
      <c r="B78" s="52"/>
      <c r="C78" s="52"/>
      <c r="D78" s="52"/>
    </row>
    <row r="79" spans="1:4" ht="15.75" customHeight="1">
      <c r="A79" s="1" t="s">
        <v>252</v>
      </c>
      <c r="B79" s="52"/>
      <c r="C79" s="52"/>
      <c r="D79" s="52"/>
    </row>
    <row r="80" spans="1:4" ht="15.75" customHeight="1">
      <c r="A80" s="1" t="s">
        <v>253</v>
      </c>
      <c r="B80" s="52"/>
      <c r="C80" s="52"/>
      <c r="D80" s="52"/>
    </row>
    <row r="81" spans="1:4" ht="15.75" customHeight="1">
      <c r="A81" s="1" t="s">
        <v>254</v>
      </c>
      <c r="B81" s="52"/>
      <c r="C81" s="52"/>
      <c r="D81" s="52"/>
    </row>
    <row r="82" spans="1:4" ht="15.75" customHeight="1">
      <c r="A82" s="1" t="s">
        <v>255</v>
      </c>
      <c r="B82" s="52"/>
      <c r="C82" s="52"/>
      <c r="D82" s="52"/>
    </row>
    <row r="83" spans="1:4" ht="15.75" customHeight="1">
      <c r="A83" s="1" t="s">
        <v>256</v>
      </c>
      <c r="B83" s="52"/>
      <c r="C83" s="52"/>
      <c r="D83" s="52"/>
    </row>
    <row r="84" spans="1:4" ht="15.75" customHeight="1">
      <c r="A84" s="1" t="s">
        <v>257</v>
      </c>
      <c r="B84" s="52"/>
      <c r="C84" s="52"/>
      <c r="D84" s="52"/>
    </row>
    <row r="85" spans="1:4" ht="15.75" customHeight="1">
      <c r="A85" s="1" t="s">
        <v>258</v>
      </c>
      <c r="B85" s="52"/>
      <c r="C85" s="52"/>
      <c r="D85" s="52"/>
    </row>
    <row r="86" spans="1:4" ht="15.75" customHeight="1">
      <c r="A86" s="53"/>
      <c r="B86" s="52"/>
      <c r="C86" s="52"/>
      <c r="D86" s="52"/>
    </row>
    <row r="87" spans="1:4" ht="15.75" customHeight="1">
      <c r="A87" s="53"/>
      <c r="B87" s="52"/>
      <c r="C87" s="52"/>
      <c r="D87" s="52"/>
    </row>
    <row r="88" spans="1:4" ht="15.75" customHeight="1">
      <c r="A88" s="53"/>
      <c r="B88" s="52"/>
      <c r="C88" s="52"/>
      <c r="D88" s="52"/>
    </row>
    <row r="89" spans="1:4" ht="15.75" customHeight="1">
      <c r="A89" s="53"/>
      <c r="B89" s="52"/>
      <c r="C89" s="52"/>
      <c r="D89" s="52"/>
    </row>
    <row r="90" spans="1:4" ht="15.75" customHeight="1">
      <c r="A90" s="54" t="s">
        <v>266</v>
      </c>
      <c r="B90" s="55">
        <f>SUM(B73:B89)</f>
        <v>0</v>
      </c>
      <c r="C90" s="55">
        <f>SUM(C71:C89)</f>
        <v>0</v>
      </c>
      <c r="D90" s="55">
        <f>SUM(D73:D89)</f>
        <v>0</v>
      </c>
    </row>
    <row r="91" spans="1:4" ht="15.75" customHeight="1">
      <c r="A91" s="1"/>
      <c r="B91" s="1"/>
      <c r="C91" s="1"/>
      <c r="D91" s="1"/>
    </row>
    <row r="92" spans="1:4" ht="15.75" customHeight="1">
      <c r="A92" s="54" t="s">
        <v>267</v>
      </c>
      <c r="B92" s="58">
        <f>(B70-B90)</f>
        <v>0</v>
      </c>
      <c r="C92" s="58">
        <f>C70-C90</f>
        <v>0</v>
      </c>
      <c r="D92" s="58">
        <f>D70-D90</f>
        <v>0</v>
      </c>
    </row>
    <row r="93" spans="1:4" ht="15.75" customHeight="1">
      <c r="B93" s="59"/>
      <c r="C93" s="59"/>
      <c r="D93" s="59"/>
    </row>
    <row r="95" spans="1:4" ht="18.75" customHeight="1">
      <c r="A95" s="106" t="s">
        <v>268</v>
      </c>
      <c r="B95" s="106"/>
      <c r="C95" s="106"/>
    </row>
    <row r="96" spans="1:4" ht="15.75" customHeight="1">
      <c r="A96" s="3" t="s">
        <v>269</v>
      </c>
      <c r="B96" s="3" t="s">
        <v>226</v>
      </c>
      <c r="C96" s="3" t="s">
        <v>227</v>
      </c>
      <c r="D96" s="3" t="s">
        <v>228</v>
      </c>
    </row>
    <row r="97" spans="1:4" ht="15.75" customHeight="1">
      <c r="A97" s="54" t="s">
        <v>270</v>
      </c>
      <c r="B97" s="55">
        <f>B24+B70</f>
        <v>8810.32</v>
      </c>
      <c r="C97" s="55">
        <f>C24+C70</f>
        <v>9803.15</v>
      </c>
      <c r="D97" s="55">
        <f>D24+D70</f>
        <v>3333</v>
      </c>
    </row>
    <row r="98" spans="1:4" ht="15.75" customHeight="1">
      <c r="A98" s="54" t="s">
        <v>245</v>
      </c>
      <c r="B98" s="55">
        <f>B45+B90</f>
        <v>1089.95</v>
      </c>
      <c r="C98" s="55">
        <f>C45+C90</f>
        <v>3008.76</v>
      </c>
      <c r="D98" s="55">
        <f>D45+D90</f>
        <v>0</v>
      </c>
    </row>
    <row r="99" spans="1:4" ht="15.75" customHeight="1">
      <c r="A99" s="54" t="s">
        <v>271</v>
      </c>
      <c r="B99" s="55">
        <f>B47+B92</f>
        <v>7720.37</v>
      </c>
      <c r="C99" s="55">
        <f>C47+C92</f>
        <v>6794.3899999999994</v>
      </c>
      <c r="D99" s="55">
        <f>D47+D92</f>
        <v>3333</v>
      </c>
    </row>
    <row r="100" spans="1:4" ht="15.75" customHeight="1">
      <c r="A100" s="60" t="s">
        <v>272</v>
      </c>
      <c r="B100" s="3" t="s">
        <v>226</v>
      </c>
      <c r="C100" s="3" t="s">
        <v>227</v>
      </c>
      <c r="D100" s="3" t="s">
        <v>228</v>
      </c>
    </row>
    <row r="101" spans="1:4" ht="15.75" customHeight="1">
      <c r="A101" s="54" t="s">
        <v>270</v>
      </c>
      <c r="B101" s="55">
        <f>B97*12</f>
        <v>105723.84</v>
      </c>
      <c r="C101" s="55">
        <f>C97*12</f>
        <v>117637.79999999999</v>
      </c>
      <c r="D101" s="55">
        <f>D97*12</f>
        <v>39996</v>
      </c>
    </row>
    <row r="102" spans="1:4" ht="15.75" customHeight="1">
      <c r="A102" s="54" t="s">
        <v>271</v>
      </c>
      <c r="B102" s="55">
        <f>B99*12</f>
        <v>92644.44</v>
      </c>
      <c r="C102" s="55">
        <f>C99*12</f>
        <v>81532.679999999993</v>
      </c>
      <c r="D102" s="55">
        <f>D99*12</f>
        <v>39996</v>
      </c>
    </row>
  </sheetData>
  <mergeCells count="8">
    <mergeCell ref="A49:C49"/>
    <mergeCell ref="A71:C71"/>
    <mergeCell ref="A95:C95"/>
    <mergeCell ref="A1:C1"/>
    <mergeCell ref="A2:A3"/>
    <mergeCell ref="A4:C4"/>
    <mergeCell ref="A25:C25"/>
    <mergeCell ref="A46:C46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6"/>
  <sheetViews>
    <sheetView zoomScale="85" zoomScaleNormal="85" workbookViewId="0">
      <selection activeCell="D19" sqref="D19"/>
    </sheetView>
  </sheetViews>
  <sheetFormatPr baseColWidth="10" defaultColWidth="10.6640625" defaultRowHeight="16"/>
  <cols>
    <col min="1" max="1" width="38.6640625" customWidth="1"/>
    <col min="2" max="4" width="34.1640625" customWidth="1"/>
    <col min="5" max="5" width="34.1640625" style="61" customWidth="1"/>
    <col min="6" max="6" width="34.1640625" customWidth="1"/>
    <col min="7" max="7" width="53.33203125" customWidth="1"/>
  </cols>
  <sheetData>
    <row r="1" spans="1:5" ht="22.5" customHeight="1">
      <c r="A1" s="62" t="s">
        <v>273</v>
      </c>
      <c r="B1" s="62"/>
      <c r="C1" s="62"/>
      <c r="D1" s="62"/>
      <c r="E1" s="62"/>
    </row>
    <row r="2" spans="1:5" ht="15.75" customHeight="1">
      <c r="A2" s="63" t="s">
        <v>221</v>
      </c>
      <c r="B2" s="3" t="s">
        <v>222</v>
      </c>
      <c r="C2" s="64" t="s">
        <v>274</v>
      </c>
      <c r="D2" s="64" t="s">
        <v>274</v>
      </c>
      <c r="E2" s="65"/>
    </row>
    <row r="3" spans="1:5" ht="25.5" customHeight="1">
      <c r="A3" s="63"/>
      <c r="B3" s="66">
        <f>INCOME!B3</f>
        <v>0</v>
      </c>
      <c r="C3" s="66">
        <f>INCOME!C3</f>
        <v>0</v>
      </c>
      <c r="D3" s="67">
        <f>INCOME!D3</f>
        <v>0</v>
      </c>
      <c r="E3" s="65"/>
    </row>
    <row r="4" spans="1:5" s="69" customFormat="1" ht="15.75" customHeight="1">
      <c r="A4" s="2" t="s">
        <v>275</v>
      </c>
      <c r="B4" s="2" t="s">
        <v>226</v>
      </c>
      <c r="C4" s="3" t="s">
        <v>227</v>
      </c>
      <c r="D4" s="3" t="s">
        <v>228</v>
      </c>
      <c r="E4" s="68" t="s">
        <v>276</v>
      </c>
    </row>
    <row r="5" spans="1:5" ht="15.75" customHeight="1">
      <c r="A5" s="54" t="s">
        <v>277</v>
      </c>
      <c r="B5" s="55">
        <f>SUM(B6:B12)</f>
        <v>500</v>
      </c>
      <c r="C5" s="55">
        <f>SUM(C6:C12)</f>
        <v>2600</v>
      </c>
      <c r="D5" s="55">
        <f>SUM(D6:D12)</f>
        <v>2580</v>
      </c>
      <c r="E5" s="70"/>
    </row>
    <row r="6" spans="1:5" ht="15.75" customHeight="1">
      <c r="A6" s="71" t="s">
        <v>278</v>
      </c>
      <c r="B6" s="52">
        <v>0</v>
      </c>
      <c r="C6" s="52">
        <v>0</v>
      </c>
      <c r="D6" s="52"/>
      <c r="E6" s="72"/>
    </row>
    <row r="7" spans="1:5" ht="15.75" customHeight="1">
      <c r="A7" s="71" t="s">
        <v>279</v>
      </c>
      <c r="B7" s="52">
        <v>0</v>
      </c>
      <c r="C7" s="52">
        <v>0</v>
      </c>
      <c r="D7" s="52"/>
      <c r="E7" s="72"/>
    </row>
    <row r="8" spans="1:5" ht="15.75" customHeight="1">
      <c r="A8" s="71" t="s">
        <v>280</v>
      </c>
      <c r="B8" s="52">
        <v>0</v>
      </c>
      <c r="C8" s="52">
        <v>0</v>
      </c>
      <c r="D8" s="52"/>
      <c r="E8" s="72"/>
    </row>
    <row r="9" spans="1:5" ht="15.75" customHeight="1">
      <c r="A9" s="71" t="s">
        <v>177</v>
      </c>
      <c r="B9" s="52">
        <v>0</v>
      </c>
      <c r="C9" s="52">
        <v>0</v>
      </c>
      <c r="D9" s="52"/>
      <c r="E9" s="72"/>
    </row>
    <row r="10" spans="1:5" ht="15.75" customHeight="1">
      <c r="A10" s="73" t="s">
        <v>281</v>
      </c>
      <c r="B10" s="52">
        <v>500</v>
      </c>
      <c r="C10" s="52">
        <v>2500</v>
      </c>
      <c r="D10" s="74">
        <v>2500</v>
      </c>
      <c r="E10" s="75" t="s">
        <v>282</v>
      </c>
    </row>
    <row r="11" spans="1:5" ht="15.75" customHeight="1">
      <c r="A11" s="73" t="s">
        <v>283</v>
      </c>
      <c r="B11" s="52"/>
      <c r="C11" s="52">
        <v>100</v>
      </c>
      <c r="D11" s="74">
        <v>80</v>
      </c>
      <c r="E11" s="75" t="s">
        <v>284</v>
      </c>
    </row>
    <row r="12" spans="1:5" ht="15.75" customHeight="1">
      <c r="A12" s="73"/>
      <c r="B12" s="52"/>
      <c r="C12" s="52"/>
      <c r="D12" s="52"/>
      <c r="E12" s="72"/>
    </row>
    <row r="13" spans="1:5" ht="15.75" customHeight="1">
      <c r="A13" s="54" t="s">
        <v>285</v>
      </c>
      <c r="B13" s="55">
        <f>SUM(B14:B20)</f>
        <v>103.82</v>
      </c>
      <c r="C13" s="55">
        <f>SUM(C14:C20)</f>
        <v>103.82</v>
      </c>
      <c r="D13" s="55">
        <f>SUM(D14:D20)</f>
        <v>164</v>
      </c>
      <c r="E13" s="70"/>
    </row>
    <row r="14" spans="1:5" ht="15.75" customHeight="1">
      <c r="A14" s="71" t="s">
        <v>286</v>
      </c>
      <c r="B14" s="52">
        <v>0</v>
      </c>
      <c r="C14" s="52">
        <v>0</v>
      </c>
      <c r="D14" s="52"/>
      <c r="E14" s="72"/>
    </row>
    <row r="15" spans="1:5" ht="15.75" customHeight="1">
      <c r="A15" s="71" t="s">
        <v>287</v>
      </c>
      <c r="B15" s="52">
        <v>25</v>
      </c>
      <c r="C15" s="52">
        <v>25</v>
      </c>
      <c r="D15" s="74">
        <v>25</v>
      </c>
      <c r="E15" s="75" t="s">
        <v>288</v>
      </c>
    </row>
    <row r="16" spans="1:5" ht="15.75" customHeight="1">
      <c r="A16" s="71" t="s">
        <v>289</v>
      </c>
      <c r="B16" s="52">
        <v>78.819999999999993</v>
      </c>
      <c r="C16" s="52">
        <v>78.819999999999993</v>
      </c>
      <c r="D16" s="74">
        <v>79</v>
      </c>
      <c r="E16" s="75" t="s">
        <v>290</v>
      </c>
    </row>
    <row r="17" spans="1:5" ht="15.75" customHeight="1">
      <c r="A17" s="71" t="s">
        <v>291</v>
      </c>
      <c r="B17" s="52">
        <v>0</v>
      </c>
      <c r="C17" s="52">
        <v>0</v>
      </c>
      <c r="D17" s="74">
        <v>60</v>
      </c>
      <c r="E17" s="75" t="s">
        <v>292</v>
      </c>
    </row>
    <row r="18" spans="1:5" ht="15.75" customHeight="1">
      <c r="A18" s="71" t="s">
        <v>293</v>
      </c>
      <c r="B18" s="52">
        <v>0</v>
      </c>
      <c r="C18" s="52">
        <v>0</v>
      </c>
      <c r="D18" s="52"/>
      <c r="E18" s="72"/>
    </row>
    <row r="19" spans="1:5" ht="15.75" customHeight="1">
      <c r="A19" s="71" t="s">
        <v>294</v>
      </c>
      <c r="B19" s="52">
        <v>0</v>
      </c>
      <c r="C19" s="52">
        <v>0</v>
      </c>
      <c r="D19" s="52"/>
      <c r="E19" s="72"/>
    </row>
    <row r="20" spans="1:5" ht="15.75" customHeight="1">
      <c r="A20" s="71" t="s">
        <v>295</v>
      </c>
      <c r="B20" s="52">
        <v>0</v>
      </c>
      <c r="C20" s="52"/>
      <c r="D20" s="52"/>
      <c r="E20" s="72"/>
    </row>
    <row r="21" spans="1:5" ht="15.75" customHeight="1">
      <c r="A21" s="54" t="s">
        <v>296</v>
      </c>
      <c r="B21" s="55">
        <f>SUM(B22:B29)</f>
        <v>490</v>
      </c>
      <c r="C21" s="55">
        <f>SUM(C22:C29)</f>
        <v>290</v>
      </c>
      <c r="D21" s="55">
        <f>SUM(D22:D29)</f>
        <v>245</v>
      </c>
      <c r="E21" s="70"/>
    </row>
    <row r="22" spans="1:5" ht="15.75" customHeight="1">
      <c r="A22" s="71" t="s">
        <v>297</v>
      </c>
      <c r="B22" s="52">
        <v>400</v>
      </c>
      <c r="C22" s="52">
        <v>200</v>
      </c>
      <c r="D22" s="74">
        <v>80</v>
      </c>
      <c r="E22" s="75" t="s">
        <v>298</v>
      </c>
    </row>
    <row r="23" spans="1:5" ht="15.75" customHeight="1">
      <c r="A23" s="71" t="s">
        <v>299</v>
      </c>
      <c r="B23" s="52">
        <v>0</v>
      </c>
      <c r="C23" s="52">
        <v>0</v>
      </c>
      <c r="D23" s="52"/>
      <c r="E23" s="72"/>
    </row>
    <row r="24" spans="1:5" ht="15.75" customHeight="1">
      <c r="A24" s="71" t="s">
        <v>300</v>
      </c>
      <c r="B24" s="52">
        <v>15</v>
      </c>
      <c r="C24" s="52">
        <v>15</v>
      </c>
      <c r="D24" s="74">
        <v>15</v>
      </c>
      <c r="E24" s="72"/>
    </row>
    <row r="25" spans="1:5" ht="15.75" customHeight="1">
      <c r="A25" s="71" t="s">
        <v>301</v>
      </c>
      <c r="B25" s="52">
        <v>0</v>
      </c>
      <c r="C25" s="52">
        <v>0</v>
      </c>
      <c r="D25" s="74">
        <v>100</v>
      </c>
      <c r="E25" s="75" t="s">
        <v>302</v>
      </c>
    </row>
    <row r="26" spans="1:5" ht="15.75" customHeight="1">
      <c r="A26" s="71" t="s">
        <v>303</v>
      </c>
      <c r="B26" s="52">
        <v>75</v>
      </c>
      <c r="C26" s="52">
        <v>75</v>
      </c>
      <c r="D26" s="74">
        <v>50</v>
      </c>
      <c r="E26" s="75" t="s">
        <v>304</v>
      </c>
    </row>
    <row r="27" spans="1:5" ht="15.75" customHeight="1">
      <c r="A27" s="73"/>
      <c r="B27" s="52"/>
      <c r="C27" s="52"/>
      <c r="D27" s="52"/>
      <c r="E27" s="72"/>
    </row>
    <row r="28" spans="1:5" ht="15.75" customHeight="1">
      <c r="A28" s="73"/>
      <c r="B28" s="52"/>
      <c r="C28" s="52"/>
      <c r="D28" s="52"/>
      <c r="E28" s="72"/>
    </row>
    <row r="29" spans="1:5" ht="15.75" customHeight="1">
      <c r="A29" s="73"/>
      <c r="B29" s="52"/>
      <c r="C29" s="52"/>
      <c r="D29" s="52"/>
      <c r="E29" s="72"/>
    </row>
    <row r="30" spans="1:5" ht="15.75" customHeight="1">
      <c r="A30" s="54" t="s">
        <v>305</v>
      </c>
      <c r="B30" s="55">
        <f>SUM(B31:B37)</f>
        <v>540</v>
      </c>
      <c r="C30" s="55">
        <f>SUM(C31:C37)</f>
        <v>540</v>
      </c>
      <c r="D30" s="55">
        <f>SUM(D31:D37)</f>
        <v>640</v>
      </c>
      <c r="E30" s="70"/>
    </row>
    <row r="31" spans="1:5" ht="15.75" customHeight="1">
      <c r="A31" s="71" t="s">
        <v>306</v>
      </c>
      <c r="B31" s="52">
        <v>250</v>
      </c>
      <c r="C31" s="52">
        <v>250</v>
      </c>
      <c r="D31" s="74">
        <v>200</v>
      </c>
      <c r="E31" s="75" t="s">
        <v>307</v>
      </c>
    </row>
    <row r="32" spans="1:5" ht="15.75" customHeight="1">
      <c r="A32" s="71" t="s">
        <v>308</v>
      </c>
      <c r="B32" s="52">
        <v>250</v>
      </c>
      <c r="C32" s="52">
        <v>250</v>
      </c>
      <c r="D32" s="74">
        <v>400</v>
      </c>
      <c r="E32" s="75" t="s">
        <v>309</v>
      </c>
    </row>
    <row r="33" spans="1:5" ht="15.75" customHeight="1">
      <c r="A33" s="71" t="s">
        <v>310</v>
      </c>
      <c r="B33" s="52">
        <v>40</v>
      </c>
      <c r="C33" s="52">
        <v>40</v>
      </c>
      <c r="D33" s="74">
        <v>40</v>
      </c>
      <c r="E33" s="72"/>
    </row>
    <row r="34" spans="1:5" ht="15.75" customHeight="1">
      <c r="A34" s="71" t="s">
        <v>311</v>
      </c>
      <c r="B34" s="52"/>
      <c r="C34" s="52"/>
      <c r="D34" s="52"/>
      <c r="E34" s="72"/>
    </row>
    <row r="35" spans="1:5" ht="15.75" customHeight="1">
      <c r="A35" s="73"/>
      <c r="B35" s="52"/>
      <c r="C35" s="52"/>
      <c r="D35" s="52"/>
      <c r="E35" s="72"/>
    </row>
    <row r="36" spans="1:5" ht="15.75" customHeight="1">
      <c r="A36" s="73"/>
      <c r="B36" s="52"/>
      <c r="C36" s="52"/>
      <c r="D36" s="52"/>
      <c r="E36" s="72"/>
    </row>
    <row r="37" spans="1:5" ht="15.75" customHeight="1">
      <c r="A37" s="73"/>
      <c r="B37" s="52"/>
      <c r="C37" s="52"/>
      <c r="D37" s="52"/>
      <c r="E37" s="72"/>
    </row>
    <row r="38" spans="1:5" ht="15.75" customHeight="1">
      <c r="A38" s="54" t="s">
        <v>312</v>
      </c>
      <c r="B38" s="55">
        <f>SUM(B39:B46)</f>
        <v>182</v>
      </c>
      <c r="C38" s="55">
        <f>SUM(C39:C46)</f>
        <v>802</v>
      </c>
      <c r="D38" s="55">
        <f>SUM(D39:D46)</f>
        <v>165</v>
      </c>
      <c r="E38" s="70"/>
    </row>
    <row r="39" spans="1:5" ht="15.75" customHeight="1">
      <c r="A39" s="71" t="s">
        <v>313</v>
      </c>
      <c r="B39" s="52">
        <v>182</v>
      </c>
      <c r="C39" s="52">
        <v>150</v>
      </c>
      <c r="D39" s="74">
        <v>150</v>
      </c>
      <c r="E39" s="75" t="s">
        <v>314</v>
      </c>
    </row>
    <row r="40" spans="1:5" ht="15.75" customHeight="1">
      <c r="A40" s="71" t="s">
        <v>315</v>
      </c>
      <c r="B40" s="52">
        <v>0</v>
      </c>
      <c r="C40" s="52">
        <v>20</v>
      </c>
      <c r="D40" s="74">
        <v>0</v>
      </c>
      <c r="E40" s="75" t="s">
        <v>316</v>
      </c>
    </row>
    <row r="41" spans="1:5" ht="15.75" customHeight="1">
      <c r="A41" s="71" t="s">
        <v>317</v>
      </c>
      <c r="B41" s="52">
        <v>0</v>
      </c>
      <c r="C41" s="52">
        <v>580</v>
      </c>
      <c r="D41" s="74">
        <v>0</v>
      </c>
      <c r="E41" s="75" t="s">
        <v>318</v>
      </c>
    </row>
    <row r="42" spans="1:5" ht="15.75" customHeight="1">
      <c r="A42" s="71" t="s">
        <v>319</v>
      </c>
      <c r="B42" s="52">
        <v>0</v>
      </c>
      <c r="C42" s="52">
        <v>52</v>
      </c>
      <c r="D42" s="74">
        <v>15</v>
      </c>
      <c r="E42" s="75" t="s">
        <v>320</v>
      </c>
    </row>
    <row r="43" spans="1:5" ht="15.75" customHeight="1">
      <c r="A43" s="71" t="s">
        <v>321</v>
      </c>
      <c r="B43" s="52">
        <v>0</v>
      </c>
      <c r="C43" s="52">
        <v>0</v>
      </c>
      <c r="D43" s="52"/>
      <c r="E43" s="72"/>
    </row>
    <row r="44" spans="1:5" ht="15.75" customHeight="1">
      <c r="A44" s="73"/>
      <c r="B44" s="52"/>
      <c r="C44" s="52"/>
      <c r="D44" s="52"/>
      <c r="E44" s="72"/>
    </row>
    <row r="45" spans="1:5" ht="15.75" customHeight="1">
      <c r="A45" s="73"/>
      <c r="B45" s="52"/>
      <c r="C45" s="52"/>
      <c r="D45" s="52"/>
      <c r="E45" s="72"/>
    </row>
    <row r="46" spans="1:5" ht="15.75" customHeight="1">
      <c r="A46" s="73"/>
      <c r="B46" s="52"/>
      <c r="C46" s="52"/>
      <c r="D46" s="52"/>
      <c r="E46" s="72"/>
    </row>
    <row r="47" spans="1:5" ht="15.75" customHeight="1">
      <c r="A47" s="54" t="s">
        <v>322</v>
      </c>
      <c r="B47" s="55">
        <f>SUM(B48:B54)</f>
        <v>10</v>
      </c>
      <c r="C47" s="55">
        <f>SUM(C48:C54)</f>
        <v>150</v>
      </c>
      <c r="D47" s="55">
        <f>SUM(D48:D54)</f>
        <v>70</v>
      </c>
      <c r="E47" s="70"/>
    </row>
    <row r="48" spans="1:5" ht="15.75" customHeight="1">
      <c r="A48" s="71" t="s">
        <v>323</v>
      </c>
      <c r="B48" s="52">
        <v>0</v>
      </c>
      <c r="C48" s="52">
        <v>20</v>
      </c>
      <c r="D48" s="74">
        <v>10</v>
      </c>
      <c r="E48" s="75" t="s">
        <v>324</v>
      </c>
    </row>
    <row r="49" spans="1:5" ht="15.75" customHeight="1">
      <c r="A49" s="71" t="s">
        <v>325</v>
      </c>
      <c r="B49" s="52">
        <v>0</v>
      </c>
      <c r="C49" s="52">
        <v>100</v>
      </c>
      <c r="D49" s="74">
        <v>30</v>
      </c>
      <c r="E49" s="75" t="s">
        <v>326</v>
      </c>
    </row>
    <row r="50" spans="1:5" ht="15.75" customHeight="1">
      <c r="A50" s="71" t="s">
        <v>327</v>
      </c>
      <c r="B50" s="52">
        <v>0</v>
      </c>
      <c r="C50" s="52">
        <v>20</v>
      </c>
      <c r="D50" s="74">
        <v>20</v>
      </c>
      <c r="E50" s="75" t="s">
        <v>328</v>
      </c>
    </row>
    <row r="51" spans="1:5" ht="15.75" customHeight="1">
      <c r="A51" s="71" t="s">
        <v>329</v>
      </c>
      <c r="B51" s="52">
        <v>10</v>
      </c>
      <c r="C51" s="52">
        <v>10</v>
      </c>
      <c r="D51" s="74">
        <v>10</v>
      </c>
      <c r="E51" s="72"/>
    </row>
    <row r="52" spans="1:5" ht="15.75" customHeight="1">
      <c r="A52" s="73"/>
      <c r="B52" s="52"/>
      <c r="C52" s="52"/>
      <c r="D52" s="52"/>
      <c r="E52" s="72"/>
    </row>
    <row r="53" spans="1:5" ht="15.75" customHeight="1">
      <c r="A53" s="73"/>
      <c r="B53" s="52"/>
      <c r="C53" s="52"/>
      <c r="D53" s="52"/>
      <c r="E53" s="72"/>
    </row>
    <row r="54" spans="1:5" ht="15.75" customHeight="1">
      <c r="A54" s="73"/>
      <c r="B54" s="52"/>
      <c r="C54" s="52"/>
      <c r="D54" s="52"/>
      <c r="E54" s="72"/>
    </row>
    <row r="55" spans="1:5" ht="15.75" customHeight="1">
      <c r="A55" s="54" t="s">
        <v>330</v>
      </c>
      <c r="B55" s="55">
        <f>SUM(B56:B60)</f>
        <v>20</v>
      </c>
      <c r="C55" s="55">
        <f>SUM(C56:C60)</f>
        <v>20</v>
      </c>
      <c r="D55" s="55">
        <f>SUM(D56:D60)</f>
        <v>30</v>
      </c>
      <c r="E55" s="70"/>
    </row>
    <row r="56" spans="1:5" ht="15.75" customHeight="1">
      <c r="A56" s="71" t="s">
        <v>331</v>
      </c>
      <c r="B56" s="52">
        <v>0</v>
      </c>
      <c r="C56" s="52"/>
      <c r="D56" s="52"/>
      <c r="E56" s="72"/>
    </row>
    <row r="57" spans="1:5" ht="15.75" customHeight="1">
      <c r="A57" s="71" t="s">
        <v>332</v>
      </c>
      <c r="B57" s="52">
        <v>20</v>
      </c>
      <c r="C57" s="52">
        <v>20</v>
      </c>
      <c r="D57" s="74">
        <v>30</v>
      </c>
      <c r="E57" s="75" t="s">
        <v>333</v>
      </c>
    </row>
    <row r="58" spans="1:5" ht="15.75" customHeight="1">
      <c r="A58" s="73"/>
      <c r="B58" s="52"/>
      <c r="C58" s="52"/>
      <c r="D58" s="52"/>
      <c r="E58" s="72"/>
    </row>
    <row r="59" spans="1:5" ht="15.75" customHeight="1">
      <c r="A59" s="73"/>
      <c r="B59" s="52"/>
      <c r="C59" s="52"/>
      <c r="D59" s="52"/>
      <c r="E59" s="72"/>
    </row>
    <row r="60" spans="1:5" ht="15.75" customHeight="1">
      <c r="A60" s="73"/>
      <c r="B60" s="52"/>
      <c r="C60" s="52"/>
      <c r="D60" s="52"/>
      <c r="E60" s="72"/>
    </row>
    <row r="61" spans="1:5" ht="15.75" customHeight="1">
      <c r="A61" s="54" t="s">
        <v>334</v>
      </c>
      <c r="B61" s="55">
        <f>SUM(B62:B68)</f>
        <v>0</v>
      </c>
      <c r="C61" s="55">
        <f>SUM(C62:C68)</f>
        <v>0</v>
      </c>
      <c r="D61" s="55">
        <f>SUM(D62:D68)</f>
        <v>0</v>
      </c>
      <c r="E61" s="70"/>
    </row>
    <row r="62" spans="1:5" ht="15.75" customHeight="1">
      <c r="A62" s="71" t="s">
        <v>335</v>
      </c>
      <c r="B62" s="52">
        <v>0</v>
      </c>
      <c r="C62" s="52">
        <v>0</v>
      </c>
      <c r="D62" s="52"/>
      <c r="E62" s="72"/>
    </row>
    <row r="63" spans="1:5" ht="15.75" customHeight="1">
      <c r="A63" s="71" t="s">
        <v>336</v>
      </c>
      <c r="B63" s="52">
        <v>0</v>
      </c>
      <c r="C63" s="52">
        <v>0</v>
      </c>
      <c r="D63" s="52"/>
      <c r="E63" s="72"/>
    </row>
    <row r="64" spans="1:5" ht="15.75" customHeight="1">
      <c r="A64" s="71" t="s">
        <v>337</v>
      </c>
      <c r="B64" s="52">
        <v>0</v>
      </c>
      <c r="C64" s="52">
        <v>0</v>
      </c>
      <c r="D64" s="52"/>
      <c r="E64" s="72"/>
    </row>
    <row r="65" spans="1:5" ht="15.75" customHeight="1">
      <c r="A65" s="71" t="s">
        <v>338</v>
      </c>
      <c r="B65" s="52">
        <v>0</v>
      </c>
      <c r="C65" s="52"/>
      <c r="D65" s="52"/>
      <c r="E65" s="72"/>
    </row>
    <row r="66" spans="1:5" ht="15.75" customHeight="1">
      <c r="A66" s="73"/>
      <c r="B66" s="52"/>
      <c r="C66" s="52"/>
      <c r="D66" s="52"/>
      <c r="E66" s="72"/>
    </row>
    <row r="67" spans="1:5" ht="15.75" customHeight="1">
      <c r="A67" s="73"/>
      <c r="B67" s="52"/>
      <c r="C67" s="52"/>
      <c r="D67" s="52"/>
      <c r="E67" s="72"/>
    </row>
    <row r="68" spans="1:5" ht="15.75" customHeight="1">
      <c r="A68" s="73"/>
      <c r="B68" s="52"/>
      <c r="C68" s="52"/>
      <c r="D68" s="52"/>
      <c r="E68" s="72"/>
    </row>
    <row r="69" spans="1:5" ht="15.75" customHeight="1">
      <c r="A69" s="54" t="s">
        <v>339</v>
      </c>
      <c r="B69" s="55">
        <f>SUM(B70:B75)</f>
        <v>0</v>
      </c>
      <c r="C69" s="55">
        <f>SUM(C70:C75)</f>
        <v>0</v>
      </c>
      <c r="D69" s="55">
        <f>SUM(D70:D75)</f>
        <v>0</v>
      </c>
      <c r="E69" s="70"/>
    </row>
    <row r="70" spans="1:5" ht="15.75" customHeight="1">
      <c r="A70" s="71" t="s">
        <v>340</v>
      </c>
      <c r="B70" s="52">
        <v>0</v>
      </c>
      <c r="C70" s="52">
        <v>0</v>
      </c>
      <c r="D70" s="52"/>
      <c r="E70" s="72"/>
    </row>
    <row r="71" spans="1:5" ht="15.75" customHeight="1">
      <c r="A71" s="71" t="s">
        <v>329</v>
      </c>
      <c r="B71" s="52">
        <v>0</v>
      </c>
      <c r="C71" s="52">
        <v>0</v>
      </c>
      <c r="D71" s="52"/>
      <c r="E71" s="72"/>
    </row>
    <row r="72" spans="1:5" ht="15.75" customHeight="1">
      <c r="A72" s="71" t="s">
        <v>341</v>
      </c>
      <c r="B72" s="52">
        <v>0</v>
      </c>
      <c r="C72" s="52">
        <v>0</v>
      </c>
      <c r="D72" s="52"/>
      <c r="E72" s="72"/>
    </row>
    <row r="73" spans="1:5" ht="15.75" customHeight="1">
      <c r="A73" s="73"/>
      <c r="B73" s="52"/>
      <c r="C73" s="52"/>
      <c r="D73" s="52"/>
      <c r="E73" s="72"/>
    </row>
    <row r="74" spans="1:5" ht="15.75" customHeight="1">
      <c r="A74" s="73"/>
      <c r="B74" s="52"/>
      <c r="C74" s="52"/>
      <c r="D74" s="52"/>
      <c r="E74" s="72"/>
    </row>
    <row r="75" spans="1:5" ht="15.75" customHeight="1">
      <c r="A75" s="73"/>
      <c r="B75" s="52"/>
      <c r="C75" s="52"/>
      <c r="D75" s="52"/>
      <c r="E75" s="72"/>
    </row>
    <row r="76" spans="1:5" ht="15.75" customHeight="1">
      <c r="A76" s="54" t="s">
        <v>342</v>
      </c>
      <c r="B76" s="55">
        <f>SUM(B77:B85)</f>
        <v>150</v>
      </c>
      <c r="C76" s="55">
        <f>SUM(C77:C85)</f>
        <v>150</v>
      </c>
      <c r="D76" s="55">
        <f>SUM(D77:D85)</f>
        <v>130</v>
      </c>
      <c r="E76" s="70"/>
    </row>
    <row r="77" spans="1:5" ht="15.75" customHeight="1">
      <c r="A77" s="71" t="s">
        <v>343</v>
      </c>
      <c r="B77" s="52">
        <v>50</v>
      </c>
      <c r="C77" s="52">
        <v>50</v>
      </c>
      <c r="D77" s="74">
        <v>30</v>
      </c>
      <c r="E77" s="75" t="s">
        <v>344</v>
      </c>
    </row>
    <row r="78" spans="1:5" ht="15.75" customHeight="1">
      <c r="A78" s="71" t="s">
        <v>345</v>
      </c>
      <c r="B78" s="52">
        <v>0</v>
      </c>
      <c r="C78" s="52"/>
      <c r="D78" s="52"/>
      <c r="E78" s="72"/>
    </row>
    <row r="79" spans="1:5" ht="15.75" customHeight="1">
      <c r="A79" s="71" t="s">
        <v>346</v>
      </c>
      <c r="B79" s="52">
        <v>0</v>
      </c>
      <c r="C79" s="52"/>
      <c r="D79" s="52"/>
      <c r="E79" s="72"/>
    </row>
    <row r="80" spans="1:5" ht="15.75" customHeight="1">
      <c r="A80" s="71" t="s">
        <v>347</v>
      </c>
      <c r="B80" s="52">
        <v>100</v>
      </c>
      <c r="C80" s="52">
        <v>100</v>
      </c>
      <c r="D80" s="74">
        <v>100</v>
      </c>
      <c r="E80" s="75" t="s">
        <v>348</v>
      </c>
    </row>
    <row r="81" spans="1:5" ht="15.75" customHeight="1">
      <c r="A81" s="71" t="s">
        <v>349</v>
      </c>
      <c r="B81" s="52">
        <v>0</v>
      </c>
      <c r="C81" s="52"/>
      <c r="D81" s="52"/>
      <c r="E81" s="72"/>
    </row>
    <row r="82" spans="1:5" ht="15.75" customHeight="1">
      <c r="A82" s="71" t="s">
        <v>350</v>
      </c>
      <c r="B82" s="52">
        <v>0</v>
      </c>
      <c r="C82" s="52"/>
      <c r="D82" s="52"/>
      <c r="E82" s="72"/>
    </row>
    <row r="83" spans="1:5" ht="15.75" customHeight="1">
      <c r="A83" s="73"/>
      <c r="B83" s="52"/>
      <c r="C83" s="52"/>
      <c r="D83" s="52"/>
      <c r="E83" s="72"/>
    </row>
    <row r="84" spans="1:5" ht="15.75" customHeight="1">
      <c r="A84" s="73"/>
      <c r="B84" s="52"/>
      <c r="C84" s="52"/>
      <c r="D84" s="52"/>
      <c r="E84" s="72"/>
    </row>
    <row r="85" spans="1:5" ht="15.75" customHeight="1">
      <c r="A85" s="73"/>
      <c r="B85" s="52"/>
      <c r="C85" s="52"/>
      <c r="D85" s="52"/>
      <c r="E85" s="72"/>
    </row>
    <row r="86" spans="1:5" ht="15.75" customHeight="1">
      <c r="A86" s="54" t="s">
        <v>351</v>
      </c>
      <c r="B86" s="55">
        <f>SUM(B87:B92)</f>
        <v>0</v>
      </c>
      <c r="C86" s="55">
        <f>SUM(C87:C92)</f>
        <v>0</v>
      </c>
      <c r="D86" s="55">
        <f>SUM(D87:D92)</f>
        <v>0</v>
      </c>
      <c r="E86" s="70"/>
    </row>
    <row r="87" spans="1:5" ht="15.75" customHeight="1">
      <c r="A87" s="71" t="s">
        <v>352</v>
      </c>
      <c r="B87" s="52">
        <v>0</v>
      </c>
      <c r="C87" s="52">
        <v>0</v>
      </c>
      <c r="D87" s="52"/>
      <c r="E87" s="72"/>
    </row>
    <row r="88" spans="1:5" ht="15.75" customHeight="1">
      <c r="A88" s="71" t="s">
        <v>353</v>
      </c>
      <c r="B88" s="52">
        <v>0</v>
      </c>
      <c r="C88" s="52">
        <v>0</v>
      </c>
      <c r="D88" s="52"/>
      <c r="E88" s="72"/>
    </row>
    <row r="89" spans="1:5" ht="15.75" customHeight="1">
      <c r="A89" s="71" t="s">
        <v>354</v>
      </c>
      <c r="B89" s="52"/>
      <c r="C89" s="52">
        <v>0</v>
      </c>
      <c r="D89" s="52"/>
      <c r="E89" s="72"/>
    </row>
    <row r="90" spans="1:5" ht="15.75" customHeight="1">
      <c r="A90" s="73"/>
      <c r="B90" s="52"/>
      <c r="C90" s="52"/>
      <c r="D90" s="52"/>
      <c r="E90" s="72"/>
    </row>
    <row r="91" spans="1:5" ht="15.75" customHeight="1">
      <c r="A91" s="73"/>
      <c r="B91" s="52"/>
      <c r="C91" s="52"/>
      <c r="D91" s="52"/>
      <c r="E91" s="72"/>
    </row>
    <row r="92" spans="1:5" ht="15.75" customHeight="1">
      <c r="A92" s="73"/>
      <c r="B92" s="52"/>
      <c r="C92" s="52"/>
      <c r="D92" s="52"/>
      <c r="E92" s="72"/>
    </row>
    <row r="93" spans="1:5" ht="15.75" customHeight="1">
      <c r="A93" s="54" t="s">
        <v>355</v>
      </c>
      <c r="B93" s="55">
        <f>SUM(B94:B108)</f>
        <v>98</v>
      </c>
      <c r="C93" s="55">
        <f>SUM(C94:C108)</f>
        <v>98</v>
      </c>
      <c r="D93" s="55">
        <f>SUM(D94:D108)</f>
        <v>128</v>
      </c>
      <c r="E93" s="70"/>
    </row>
    <row r="94" spans="1:5" ht="15.75" customHeight="1">
      <c r="A94" s="71" t="s">
        <v>356</v>
      </c>
      <c r="B94" s="52">
        <v>0</v>
      </c>
      <c r="C94" s="52">
        <v>0</v>
      </c>
      <c r="D94" s="52"/>
      <c r="E94" s="72"/>
    </row>
    <row r="95" spans="1:5" ht="15.75" customHeight="1">
      <c r="A95" s="71" t="s">
        <v>357</v>
      </c>
      <c r="B95" s="52">
        <v>0</v>
      </c>
      <c r="C95" s="52">
        <v>0</v>
      </c>
      <c r="D95" s="74">
        <v>30</v>
      </c>
      <c r="E95" s="75" t="s">
        <v>358</v>
      </c>
    </row>
    <row r="96" spans="1:5" ht="15.75" customHeight="1">
      <c r="A96" s="71" t="s">
        <v>359</v>
      </c>
      <c r="B96" s="52">
        <v>0</v>
      </c>
      <c r="C96" s="52">
        <v>0</v>
      </c>
      <c r="D96" s="52"/>
      <c r="E96" s="72"/>
    </row>
    <row r="97" spans="1:5" ht="15.75" customHeight="1">
      <c r="A97" s="71" t="s">
        <v>360</v>
      </c>
      <c r="B97" s="52">
        <v>0</v>
      </c>
      <c r="C97" s="52">
        <v>0</v>
      </c>
      <c r="D97" s="52"/>
      <c r="E97" s="72"/>
    </row>
    <row r="98" spans="1:5" ht="15.75" customHeight="1">
      <c r="A98" s="71" t="s">
        <v>361</v>
      </c>
      <c r="B98" s="52">
        <v>0</v>
      </c>
      <c r="C98" s="52">
        <v>0</v>
      </c>
      <c r="D98" s="52"/>
      <c r="E98" s="72"/>
    </row>
    <row r="99" spans="1:5" ht="15.75" customHeight="1">
      <c r="A99" s="71" t="s">
        <v>362</v>
      </c>
      <c r="B99" s="52">
        <v>0</v>
      </c>
      <c r="C99" s="52">
        <v>0</v>
      </c>
      <c r="D99" s="52"/>
      <c r="E99" s="72"/>
    </row>
    <row r="100" spans="1:5" ht="15.75" customHeight="1">
      <c r="A100" s="71" t="s">
        <v>363</v>
      </c>
      <c r="B100" s="52">
        <v>0</v>
      </c>
      <c r="C100" s="52">
        <v>0</v>
      </c>
      <c r="D100" s="52"/>
      <c r="E100" s="72"/>
    </row>
    <row r="101" spans="1:5" ht="15.75" customHeight="1">
      <c r="A101" s="71" t="s">
        <v>364</v>
      </c>
      <c r="B101" s="52">
        <v>0</v>
      </c>
      <c r="C101" s="52">
        <v>0</v>
      </c>
      <c r="D101" s="52"/>
      <c r="E101" s="72"/>
    </row>
    <row r="102" spans="1:5" ht="15.75" customHeight="1">
      <c r="A102" s="71" t="s">
        <v>365</v>
      </c>
      <c r="B102" s="52">
        <v>0</v>
      </c>
      <c r="C102" s="52">
        <v>0</v>
      </c>
      <c r="D102" s="52"/>
      <c r="E102" s="72"/>
    </row>
    <row r="103" spans="1:5" ht="15.75" customHeight="1">
      <c r="A103" s="73" t="s">
        <v>366</v>
      </c>
      <c r="B103" s="52">
        <v>42</v>
      </c>
      <c r="C103" s="52">
        <v>42</v>
      </c>
      <c r="D103" s="74">
        <v>42</v>
      </c>
      <c r="E103" s="75" t="s">
        <v>367</v>
      </c>
    </row>
    <row r="104" spans="1:5" ht="15.75" customHeight="1">
      <c r="A104" s="73" t="s">
        <v>368</v>
      </c>
      <c r="B104" s="52">
        <v>20</v>
      </c>
      <c r="C104" s="52">
        <v>20</v>
      </c>
      <c r="D104" s="74">
        <v>20</v>
      </c>
      <c r="E104" s="75" t="s">
        <v>369</v>
      </c>
    </row>
    <row r="105" spans="1:5" ht="15.75" customHeight="1">
      <c r="A105" s="73" t="s">
        <v>370</v>
      </c>
      <c r="B105" s="52">
        <v>16</v>
      </c>
      <c r="C105" s="52">
        <v>16</v>
      </c>
      <c r="D105" s="74">
        <v>16</v>
      </c>
      <c r="E105" s="75" t="s">
        <v>371</v>
      </c>
    </row>
    <row r="106" spans="1:5" ht="15.75" customHeight="1">
      <c r="A106" s="73" t="s">
        <v>372</v>
      </c>
      <c r="B106" s="52">
        <v>20</v>
      </c>
      <c r="C106" s="52">
        <v>20</v>
      </c>
      <c r="D106" s="74">
        <v>20</v>
      </c>
      <c r="E106" s="75" t="s">
        <v>373</v>
      </c>
    </row>
    <row r="107" spans="1:5" ht="15.75" customHeight="1">
      <c r="A107" s="73"/>
      <c r="B107" s="52"/>
      <c r="C107" s="52"/>
      <c r="D107" s="52"/>
      <c r="E107" s="72"/>
    </row>
    <row r="108" spans="1:5" ht="15.75" customHeight="1">
      <c r="A108" s="73"/>
      <c r="B108" s="52"/>
      <c r="C108" s="52"/>
      <c r="D108" s="52"/>
      <c r="E108" s="72"/>
    </row>
    <row r="109" spans="1:5" ht="15.75" customHeight="1">
      <c r="A109" s="54" t="s">
        <v>374</v>
      </c>
      <c r="B109" s="55">
        <f>SUM(B110:B114)</f>
        <v>0</v>
      </c>
      <c r="C109" s="55">
        <f>SUM(C110:C114)</f>
        <v>0</v>
      </c>
      <c r="D109" s="55">
        <f>SUM(D110:D114)</f>
        <v>0</v>
      </c>
      <c r="E109" s="70"/>
    </row>
    <row r="110" spans="1:5" ht="15.75" customHeight="1">
      <c r="A110" s="71" t="s">
        <v>375</v>
      </c>
      <c r="B110" s="52">
        <v>0</v>
      </c>
      <c r="C110" s="52">
        <v>0</v>
      </c>
      <c r="D110" s="52"/>
      <c r="E110" s="72"/>
    </row>
    <row r="111" spans="1:5" ht="15.75" customHeight="1">
      <c r="A111" s="71" t="s">
        <v>376</v>
      </c>
      <c r="B111" s="52">
        <v>0</v>
      </c>
      <c r="C111" s="52">
        <v>0</v>
      </c>
      <c r="D111" s="52"/>
      <c r="E111" s="72"/>
    </row>
    <row r="112" spans="1:5" ht="15.75" customHeight="1">
      <c r="A112" s="73"/>
      <c r="B112" s="52"/>
      <c r="C112" s="52"/>
      <c r="D112" s="52"/>
      <c r="E112" s="72"/>
    </row>
    <row r="113" spans="1:5" ht="15.75" customHeight="1">
      <c r="A113" s="73"/>
      <c r="B113" s="52"/>
      <c r="C113" s="52"/>
      <c r="D113" s="52"/>
      <c r="E113" s="72"/>
    </row>
    <row r="114" spans="1:5" ht="15.75" customHeight="1">
      <c r="A114" s="73"/>
      <c r="B114" s="52"/>
      <c r="C114" s="52"/>
      <c r="D114" s="52"/>
      <c r="E114" s="72"/>
    </row>
    <row r="115" spans="1:5" ht="15.75" customHeight="1">
      <c r="A115" s="54" t="s">
        <v>377</v>
      </c>
      <c r="B115" s="55">
        <f>SUM(B116:B119)</f>
        <v>300</v>
      </c>
      <c r="C115" s="55">
        <f>SUM(C116:C119)</f>
        <v>300</v>
      </c>
      <c r="D115" s="55">
        <f>SUM(D116:D119)</f>
        <v>0</v>
      </c>
      <c r="E115" s="70"/>
    </row>
    <row r="116" spans="1:5" ht="15.75" customHeight="1">
      <c r="A116" s="71" t="s">
        <v>378</v>
      </c>
      <c r="B116" s="52">
        <v>300</v>
      </c>
      <c r="C116" s="52">
        <v>300</v>
      </c>
      <c r="D116" s="52"/>
      <c r="E116" s="72"/>
    </row>
    <row r="117" spans="1:5" ht="15.75" customHeight="1">
      <c r="A117" s="73"/>
      <c r="B117" s="52"/>
      <c r="C117" s="52"/>
      <c r="D117" s="52"/>
      <c r="E117" s="72"/>
    </row>
    <row r="118" spans="1:5" ht="15.75" customHeight="1">
      <c r="A118" s="73"/>
      <c r="B118" s="52"/>
      <c r="C118" s="52"/>
      <c r="D118" s="52"/>
      <c r="E118" s="72"/>
    </row>
    <row r="119" spans="1:5" ht="15.75" customHeight="1">
      <c r="A119" s="73"/>
      <c r="B119" s="52"/>
      <c r="C119" s="52"/>
      <c r="D119" s="52"/>
      <c r="E119" s="72"/>
    </row>
    <row r="120" spans="1:5" ht="15.75" customHeight="1">
      <c r="A120" s="54" t="s">
        <v>379</v>
      </c>
      <c r="B120" s="55">
        <f>SUM(B121:B125)</f>
        <v>0</v>
      </c>
      <c r="C120" s="55">
        <f>SUM(C121:C125)</f>
        <v>0</v>
      </c>
      <c r="D120" s="55">
        <f>SUM(D121:D125)</f>
        <v>0</v>
      </c>
      <c r="E120" s="70"/>
    </row>
    <row r="121" spans="1:5" ht="15.75" customHeight="1">
      <c r="A121" s="71" t="s">
        <v>380</v>
      </c>
      <c r="B121" s="52">
        <v>0</v>
      </c>
      <c r="C121" s="52">
        <v>0</v>
      </c>
      <c r="D121" s="52"/>
      <c r="E121" s="72"/>
    </row>
    <row r="122" spans="1:5" ht="15.75" customHeight="1">
      <c r="A122" s="71" t="s">
        <v>381</v>
      </c>
      <c r="B122" s="52">
        <v>0</v>
      </c>
      <c r="C122" s="52">
        <v>0</v>
      </c>
      <c r="D122" s="52"/>
      <c r="E122" s="72"/>
    </row>
    <row r="123" spans="1:5" ht="15.75" customHeight="1">
      <c r="A123" s="71" t="s">
        <v>382</v>
      </c>
      <c r="B123" s="52">
        <v>0</v>
      </c>
      <c r="C123" s="52">
        <v>0</v>
      </c>
      <c r="D123" s="52"/>
      <c r="E123" s="72"/>
    </row>
    <row r="124" spans="1:5" ht="15.75" customHeight="1">
      <c r="A124" s="73"/>
      <c r="B124" s="52"/>
      <c r="C124" s="52"/>
      <c r="D124" s="52"/>
      <c r="E124" s="72"/>
    </row>
    <row r="125" spans="1:5" ht="15.75" customHeight="1">
      <c r="A125" s="73"/>
      <c r="B125" s="52"/>
      <c r="C125" s="52"/>
      <c r="D125" s="52"/>
      <c r="E125" s="72"/>
    </row>
    <row r="126" spans="1:5" ht="15.75" customHeight="1">
      <c r="A126" s="76" t="s">
        <v>383</v>
      </c>
      <c r="B126" s="55">
        <f>SUM(B5,B13,B21,B30,B38,B47,B55,B61,B69,B76,B86,B93,B109,B115,B120)</f>
        <v>2393.8199999999997</v>
      </c>
      <c r="C126" s="55">
        <f>SUM(C5,C13,C21,C30,C38,C47,C55,C61,C69,C76,C86,C93,C109,C115,C120)</f>
        <v>5053.82</v>
      </c>
      <c r="D126" s="55">
        <f>SUM(D5,D13,D21,D30,D38,D47,D55,D61,D69,D76,D86,D93,D109,D115,D120)</f>
        <v>4152</v>
      </c>
      <c r="E126" s="70"/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8"/>
  <sheetViews>
    <sheetView zoomScale="80" zoomScaleNormal="80" workbookViewId="0">
      <selection activeCell="C39" sqref="C39"/>
    </sheetView>
  </sheetViews>
  <sheetFormatPr baseColWidth="10" defaultColWidth="10.6640625" defaultRowHeight="16"/>
  <cols>
    <col min="1" max="1" width="37.1640625" customWidth="1"/>
    <col min="2" max="2" width="27.33203125" customWidth="1"/>
    <col min="3" max="11" width="29.1640625" customWidth="1"/>
  </cols>
  <sheetData>
    <row r="1" spans="1:7" ht="21" customHeight="1">
      <c r="A1" s="106" t="s">
        <v>384</v>
      </c>
      <c r="B1" s="106"/>
      <c r="C1" s="106"/>
      <c r="D1" s="106"/>
      <c r="E1" s="106"/>
      <c r="F1" s="106"/>
      <c r="G1" s="106"/>
    </row>
    <row r="2" spans="1:7" ht="15.75" customHeight="1">
      <c r="A2" s="107" t="s">
        <v>221</v>
      </c>
      <c r="B2" s="107"/>
      <c r="C2" s="115" t="s">
        <v>222</v>
      </c>
      <c r="D2" s="115"/>
      <c r="E2" s="115" t="s">
        <v>223</v>
      </c>
      <c r="F2" s="115"/>
      <c r="G2" s="115"/>
    </row>
    <row r="3" spans="1:7" ht="24" customHeight="1">
      <c r="A3" s="107"/>
      <c r="B3" s="107"/>
      <c r="C3" s="118">
        <f>INCOME!B3</f>
        <v>0</v>
      </c>
      <c r="D3" s="118"/>
      <c r="E3" s="119">
        <f>INCOME!C3</f>
        <v>0</v>
      </c>
      <c r="F3" s="119"/>
      <c r="G3" s="115"/>
    </row>
    <row r="4" spans="1:7" s="69" customFormat="1" ht="47.25" customHeight="1">
      <c r="A4" s="116" t="s">
        <v>385</v>
      </c>
      <c r="B4" s="116"/>
      <c r="C4" s="2" t="s">
        <v>386</v>
      </c>
      <c r="D4" s="2" t="s">
        <v>387</v>
      </c>
      <c r="E4" s="2" t="s">
        <v>388</v>
      </c>
      <c r="F4" s="2" t="s">
        <v>389</v>
      </c>
      <c r="G4" s="2" t="s">
        <v>390</v>
      </c>
    </row>
    <row r="5" spans="1:7" ht="15.75" customHeight="1">
      <c r="A5" s="117" t="s">
        <v>391</v>
      </c>
      <c r="B5" s="117"/>
      <c r="C5" s="77"/>
      <c r="D5" s="77"/>
      <c r="E5" s="77"/>
      <c r="F5" s="77"/>
      <c r="G5" s="78"/>
    </row>
    <row r="6" spans="1:7" ht="15.75" customHeight="1">
      <c r="A6" s="117" t="s">
        <v>392</v>
      </c>
      <c r="B6" s="117"/>
      <c r="C6" s="77">
        <v>0</v>
      </c>
      <c r="D6" s="77"/>
      <c r="E6" s="77"/>
      <c r="F6" s="77"/>
      <c r="G6" s="78"/>
    </row>
    <row r="7" spans="1:7" ht="15.75" customHeight="1">
      <c r="A7" s="117" t="s">
        <v>393</v>
      </c>
      <c r="B7" s="117"/>
      <c r="C7" s="77">
        <v>0</v>
      </c>
      <c r="D7" s="77"/>
      <c r="E7" s="77"/>
      <c r="F7" s="77"/>
      <c r="G7" s="78"/>
    </row>
    <row r="8" spans="1:7" ht="15.75" customHeight="1">
      <c r="A8" s="117" t="s">
        <v>394</v>
      </c>
      <c r="B8" s="117"/>
      <c r="C8" s="77">
        <v>0</v>
      </c>
      <c r="D8" s="77"/>
      <c r="E8" s="77"/>
      <c r="F8" s="77"/>
      <c r="G8" s="78"/>
    </row>
    <row r="9" spans="1:7" ht="15.75" customHeight="1">
      <c r="A9" s="112"/>
      <c r="B9" s="112"/>
      <c r="C9" s="77"/>
      <c r="D9" s="77"/>
      <c r="E9" s="77"/>
      <c r="F9" s="77"/>
      <c r="G9" s="78"/>
    </row>
    <row r="10" spans="1:7" ht="15.75" customHeight="1">
      <c r="A10" s="113" t="s">
        <v>395</v>
      </c>
      <c r="B10" s="113"/>
      <c r="C10" s="55">
        <f>SUM(C5:C9)</f>
        <v>0</v>
      </c>
      <c r="D10" s="55">
        <f>SUM(D5:D9)</f>
        <v>0</v>
      </c>
      <c r="E10" s="55">
        <f>SUM(E5:E9)</f>
        <v>0</v>
      </c>
      <c r="F10" s="55">
        <f>SUM(F5:F9)</f>
        <v>0</v>
      </c>
      <c r="G10" s="79"/>
    </row>
    <row r="12" spans="1:7" s="69" customFormat="1" ht="47.25" customHeight="1">
      <c r="A12" s="2" t="s">
        <v>396</v>
      </c>
      <c r="B12" s="2" t="s">
        <v>397</v>
      </c>
      <c r="C12" s="2" t="s">
        <v>386</v>
      </c>
      <c r="D12" s="2" t="s">
        <v>387</v>
      </c>
      <c r="E12" s="2" t="s">
        <v>388</v>
      </c>
      <c r="F12" s="2" t="s">
        <v>389</v>
      </c>
      <c r="G12" s="2" t="s">
        <v>390</v>
      </c>
    </row>
    <row r="13" spans="1:7" ht="15.75" customHeight="1">
      <c r="A13" s="53"/>
      <c r="B13" s="53"/>
      <c r="C13" s="77"/>
      <c r="D13" s="80"/>
      <c r="E13" s="77">
        <v>0</v>
      </c>
      <c r="F13" s="77"/>
      <c r="G13" s="78"/>
    </row>
    <row r="14" spans="1:7" ht="15.75" customHeight="1">
      <c r="A14" s="53"/>
      <c r="B14" s="53"/>
      <c r="C14" s="77"/>
      <c r="D14" s="77" t="s">
        <v>398</v>
      </c>
      <c r="E14" s="77"/>
      <c r="F14" s="77"/>
      <c r="G14" s="78"/>
    </row>
    <row r="15" spans="1:7" ht="15.75" customHeight="1">
      <c r="A15" s="53"/>
      <c r="B15" s="53"/>
      <c r="C15" s="77"/>
      <c r="D15" s="77"/>
      <c r="E15" s="77"/>
      <c r="F15" s="77"/>
      <c r="G15" s="78"/>
    </row>
    <row r="16" spans="1:7" ht="15.75" customHeight="1">
      <c r="A16" s="53"/>
      <c r="B16" s="53"/>
      <c r="C16" s="77"/>
      <c r="D16" s="77"/>
      <c r="E16" s="77"/>
      <c r="F16" s="77"/>
      <c r="G16" s="78"/>
    </row>
    <row r="17" spans="1:7" ht="15.75" customHeight="1">
      <c r="A17" s="53"/>
      <c r="B17" s="53"/>
      <c r="C17" s="77"/>
      <c r="D17" s="77"/>
      <c r="E17" s="77"/>
      <c r="F17" s="77"/>
      <c r="G17" s="78"/>
    </row>
    <row r="18" spans="1:7" ht="15.75" customHeight="1">
      <c r="A18" s="53"/>
      <c r="B18" s="53"/>
      <c r="C18" s="77"/>
      <c r="D18" s="77"/>
      <c r="E18" s="77"/>
      <c r="F18" s="77"/>
      <c r="G18" s="78"/>
    </row>
    <row r="19" spans="1:7" ht="15.75" customHeight="1">
      <c r="A19" s="53"/>
      <c r="B19" s="53"/>
      <c r="C19" s="77"/>
      <c r="D19" s="77"/>
      <c r="E19" s="77"/>
      <c r="F19" s="77"/>
      <c r="G19" s="78"/>
    </row>
    <row r="20" spans="1:7" ht="15.75" customHeight="1">
      <c r="A20" s="53"/>
      <c r="B20" s="53"/>
      <c r="C20" s="77"/>
      <c r="D20" s="77"/>
      <c r="E20" s="77"/>
      <c r="F20" s="77"/>
      <c r="G20" s="78"/>
    </row>
    <row r="21" spans="1:7" ht="15.75" customHeight="1">
      <c r="A21" s="53"/>
      <c r="B21" s="53"/>
      <c r="C21" s="77"/>
      <c r="D21" s="77"/>
      <c r="E21" s="77"/>
      <c r="F21" s="77"/>
      <c r="G21" s="78"/>
    </row>
    <row r="22" spans="1:7" ht="15.75" customHeight="1">
      <c r="A22" s="53"/>
      <c r="B22" s="53"/>
      <c r="C22" s="77"/>
      <c r="D22" s="77"/>
      <c r="E22" s="77"/>
      <c r="F22" s="77"/>
      <c r="G22" s="78"/>
    </row>
    <row r="23" spans="1:7" ht="15.75" customHeight="1">
      <c r="A23" s="53"/>
      <c r="B23" s="53"/>
      <c r="C23" s="77"/>
      <c r="D23" s="77"/>
      <c r="E23" s="77"/>
      <c r="F23" s="77"/>
      <c r="G23" s="78"/>
    </row>
    <row r="24" spans="1:7" ht="15.75" customHeight="1">
      <c r="A24" s="53"/>
      <c r="B24" s="53"/>
      <c r="C24" s="77"/>
      <c r="D24" s="77"/>
      <c r="E24" s="77"/>
      <c r="F24" s="77"/>
      <c r="G24" s="78"/>
    </row>
    <row r="25" spans="1:7" ht="15.75" customHeight="1">
      <c r="A25" s="53"/>
      <c r="B25" s="53"/>
      <c r="C25" s="77"/>
      <c r="D25" s="77"/>
      <c r="E25" s="77"/>
      <c r="F25" s="77"/>
      <c r="G25" s="78"/>
    </row>
    <row r="26" spans="1:7" ht="15.75" customHeight="1">
      <c r="A26" s="53"/>
      <c r="B26" s="53"/>
      <c r="C26" s="77"/>
      <c r="D26" s="77"/>
      <c r="E26" s="77"/>
      <c r="F26" s="77"/>
      <c r="G26" s="78"/>
    </row>
    <row r="27" spans="1:7" ht="15.75" customHeight="1">
      <c r="A27" s="53"/>
      <c r="B27" s="53"/>
      <c r="C27" s="77"/>
      <c r="D27" s="77"/>
      <c r="E27" s="77"/>
      <c r="F27" s="77"/>
      <c r="G27" s="78"/>
    </row>
    <row r="28" spans="1:7" ht="15.75" customHeight="1">
      <c r="A28" s="53"/>
      <c r="B28" s="53"/>
      <c r="C28" s="77"/>
      <c r="D28" s="77"/>
      <c r="E28" s="77"/>
      <c r="F28" s="77"/>
      <c r="G28" s="78"/>
    </row>
    <row r="29" spans="1:7" ht="15.75" customHeight="1">
      <c r="A29" s="113" t="s">
        <v>395</v>
      </c>
      <c r="B29" s="113"/>
      <c r="C29" s="55">
        <f>SUM(C13:C28)</f>
        <v>0</v>
      </c>
      <c r="D29" s="55">
        <f>SUM(D13:D28)</f>
        <v>0</v>
      </c>
      <c r="E29" s="55">
        <f>SUM(E13:E28)</f>
        <v>0</v>
      </c>
      <c r="F29" s="55">
        <f>SUM(F13:F28)</f>
        <v>0</v>
      </c>
      <c r="G29" s="79"/>
    </row>
    <row r="31" spans="1:7" ht="19.5" customHeight="1">
      <c r="C31" s="114" t="s">
        <v>399</v>
      </c>
      <c r="D31" s="114"/>
      <c r="E31" s="114"/>
      <c r="F31" s="114"/>
      <c r="G31" s="114"/>
    </row>
    <row r="32" spans="1:7" ht="19.5" customHeight="1">
      <c r="C32" s="3"/>
      <c r="D32" s="3" t="s">
        <v>222</v>
      </c>
      <c r="E32" s="3" t="s">
        <v>274</v>
      </c>
      <c r="F32" s="115" t="s">
        <v>276</v>
      </c>
      <c r="G32" s="115"/>
    </row>
    <row r="33" spans="3:7" ht="19.5" customHeight="1">
      <c r="C33" s="1" t="s">
        <v>221</v>
      </c>
      <c r="D33" s="81">
        <f>INCOME!B3</f>
        <v>0</v>
      </c>
      <c r="E33" s="81">
        <f>INCOME!C3</f>
        <v>0</v>
      </c>
      <c r="F33" s="115"/>
      <c r="G33" s="115"/>
    </row>
    <row r="34" spans="3:7" ht="19.5" customHeight="1">
      <c r="C34" s="1" t="s">
        <v>400</v>
      </c>
      <c r="D34" s="82">
        <f>INCOME!$B97</f>
        <v>8810.32</v>
      </c>
      <c r="E34" s="82">
        <f>INCOME!C97</f>
        <v>9803.15</v>
      </c>
      <c r="F34" s="109"/>
      <c r="G34" s="109"/>
    </row>
    <row r="35" spans="3:7" ht="19.5" customHeight="1">
      <c r="C35" s="1" t="s">
        <v>401</v>
      </c>
      <c r="D35" s="82">
        <f>SUM(C10,C29)</f>
        <v>0</v>
      </c>
      <c r="E35" s="82">
        <f>SUM(E10,E29)</f>
        <v>0</v>
      </c>
      <c r="F35" s="109"/>
      <c r="G35" s="109"/>
    </row>
    <row r="36" spans="3:7" ht="19.5" customHeight="1">
      <c r="C36" s="54" t="s">
        <v>402</v>
      </c>
      <c r="D36" s="83">
        <f>IF(D34, D35/D34, 0)</f>
        <v>0</v>
      </c>
      <c r="E36" s="83">
        <f>IF(E34, E35/E34, 0)</f>
        <v>0</v>
      </c>
      <c r="F36" s="110"/>
      <c r="G36" s="110"/>
    </row>
    <row r="37" spans="3:7" ht="19.5" customHeight="1">
      <c r="C37" s="84" t="s">
        <v>403</v>
      </c>
      <c r="D37" s="55">
        <f>SUM(D$10,D$29)</f>
        <v>0</v>
      </c>
      <c r="E37" s="55">
        <f>SUM(F10,F29)</f>
        <v>0</v>
      </c>
      <c r="F37" s="111"/>
      <c r="G37" s="111"/>
    </row>
    <row r="38" spans="3:7" ht="19.5" customHeight="1">
      <c r="C38" s="85" t="s">
        <v>404</v>
      </c>
      <c r="D38" s="85"/>
      <c r="E38" s="85"/>
      <c r="F38" s="86"/>
    </row>
  </sheetData>
  <mergeCells count="21">
    <mergeCell ref="A1:G1"/>
    <mergeCell ref="A2:B3"/>
    <mergeCell ref="C2:D2"/>
    <mergeCell ref="E2:F2"/>
    <mergeCell ref="G2:G3"/>
    <mergeCell ref="C3:D3"/>
    <mergeCell ref="E3:F3"/>
    <mergeCell ref="A4:B4"/>
    <mergeCell ref="A5:B5"/>
    <mergeCell ref="A6:B6"/>
    <mergeCell ref="A7:B7"/>
    <mergeCell ref="A8:B8"/>
    <mergeCell ref="F34:G34"/>
    <mergeCell ref="F35:G35"/>
    <mergeCell ref="F36:G36"/>
    <mergeCell ref="F37:G37"/>
    <mergeCell ref="A9:B9"/>
    <mergeCell ref="A10:B10"/>
    <mergeCell ref="A29:B29"/>
    <mergeCell ref="C31:G31"/>
    <mergeCell ref="F32:G33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3"/>
  <sheetViews>
    <sheetView zoomScale="147" zoomScaleNormal="147" workbookViewId="0">
      <selection activeCell="C30" sqref="C30"/>
    </sheetView>
  </sheetViews>
  <sheetFormatPr baseColWidth="10" defaultColWidth="10.6640625" defaultRowHeight="16"/>
  <cols>
    <col min="1" max="1" width="38" customWidth="1"/>
    <col min="2" max="3" width="32.6640625" customWidth="1"/>
  </cols>
  <sheetData>
    <row r="1" spans="1:3" ht="18.75" customHeight="1">
      <c r="A1" s="106" t="s">
        <v>405</v>
      </c>
      <c r="B1" s="106"/>
      <c r="C1" s="106"/>
    </row>
    <row r="2" spans="1:3" ht="18.75" customHeight="1">
      <c r="A2" s="107" t="s">
        <v>221</v>
      </c>
      <c r="B2" s="3" t="s">
        <v>222</v>
      </c>
      <c r="C2" s="115"/>
    </row>
    <row r="3" spans="1:3" ht="20.25" customHeight="1">
      <c r="A3" s="107"/>
      <c r="B3" s="81">
        <v>95835</v>
      </c>
      <c r="C3" s="115"/>
    </row>
    <row r="4" spans="1:3" ht="15.75" customHeight="1">
      <c r="A4" s="64" t="s">
        <v>406</v>
      </c>
      <c r="B4" s="3" t="s">
        <v>226</v>
      </c>
      <c r="C4" s="87" t="s">
        <v>276</v>
      </c>
    </row>
    <row r="5" spans="1:3" ht="15.75" customHeight="1">
      <c r="A5" s="54" t="s">
        <v>407</v>
      </c>
      <c r="B5" s="58">
        <f>SUM(B6:B22)</f>
        <v>150000</v>
      </c>
      <c r="C5" s="79"/>
    </row>
    <row r="6" spans="1:3" ht="15.75" customHeight="1">
      <c r="A6" s="71" t="s">
        <v>408</v>
      </c>
      <c r="B6" s="52"/>
      <c r="C6" s="53"/>
    </row>
    <row r="7" spans="1:3" ht="15.75" customHeight="1">
      <c r="A7" s="71" t="s">
        <v>409</v>
      </c>
      <c r="B7" s="52">
        <v>8000</v>
      </c>
      <c r="C7" s="53"/>
    </row>
    <row r="8" spans="1:3" ht="15.75" customHeight="1">
      <c r="A8" s="71" t="s">
        <v>410</v>
      </c>
      <c r="B8" s="52">
        <v>12000</v>
      </c>
      <c r="C8" s="53"/>
    </row>
    <row r="9" spans="1:3" ht="15.75" customHeight="1">
      <c r="A9" s="71" t="s">
        <v>411</v>
      </c>
      <c r="B9" s="52"/>
      <c r="C9" s="53"/>
    </row>
    <row r="10" spans="1:3" ht="15.75" customHeight="1">
      <c r="A10" s="71" t="s">
        <v>253</v>
      </c>
      <c r="B10" s="52">
        <v>75000</v>
      </c>
      <c r="C10" s="53" t="s">
        <v>412</v>
      </c>
    </row>
    <row r="11" spans="1:3" ht="15.75" customHeight="1">
      <c r="A11" s="71" t="s">
        <v>413</v>
      </c>
      <c r="B11" s="52"/>
      <c r="C11" s="53"/>
    </row>
    <row r="12" spans="1:3" ht="15.75" customHeight="1">
      <c r="A12" s="71" t="s">
        <v>414</v>
      </c>
      <c r="B12" s="52"/>
      <c r="C12" s="53"/>
    </row>
    <row r="13" spans="1:3" ht="15.75" customHeight="1">
      <c r="A13" s="71" t="s">
        <v>415</v>
      </c>
      <c r="B13" s="52"/>
      <c r="C13" s="53"/>
    </row>
    <row r="14" spans="1:3" ht="15.75" customHeight="1">
      <c r="A14" s="71" t="s">
        <v>416</v>
      </c>
      <c r="B14" s="52"/>
      <c r="C14" s="53"/>
    </row>
    <row r="15" spans="1:3" ht="15.75" customHeight="1">
      <c r="A15" s="71" t="s">
        <v>417</v>
      </c>
      <c r="B15" s="52"/>
      <c r="C15" s="53"/>
    </row>
    <row r="16" spans="1:3" ht="15.75" customHeight="1">
      <c r="A16" s="71" t="s">
        <v>418</v>
      </c>
      <c r="B16" s="52"/>
      <c r="C16" s="53"/>
    </row>
    <row r="17" spans="1:3" ht="15.75" customHeight="1">
      <c r="A17" s="71" t="s">
        <v>419</v>
      </c>
      <c r="B17" s="52"/>
      <c r="C17" s="53"/>
    </row>
    <row r="18" spans="1:3" ht="15.75" customHeight="1">
      <c r="A18" s="88" t="s">
        <v>420</v>
      </c>
      <c r="B18" s="52"/>
      <c r="C18" s="53"/>
    </row>
    <row r="19" spans="1:3" ht="15.75" customHeight="1">
      <c r="A19" s="71" t="s">
        <v>421</v>
      </c>
      <c r="B19" s="52">
        <v>30000</v>
      </c>
      <c r="C19" s="53" t="s">
        <v>422</v>
      </c>
    </row>
    <row r="20" spans="1:3" ht="15.75" customHeight="1">
      <c r="A20" s="73" t="s">
        <v>423</v>
      </c>
      <c r="B20" s="52">
        <v>25000</v>
      </c>
      <c r="C20" s="53" t="s">
        <v>422</v>
      </c>
    </row>
    <row r="21" spans="1:3" ht="15.75" customHeight="1">
      <c r="A21" s="73"/>
      <c r="B21" s="52"/>
      <c r="C21" s="53"/>
    </row>
    <row r="22" spans="1:3" ht="15.75" customHeight="1">
      <c r="A22" s="57"/>
      <c r="B22" s="52"/>
      <c r="C22" s="53"/>
    </row>
    <row r="23" spans="1:3" ht="15.75" customHeight="1">
      <c r="A23" s="54" t="s">
        <v>424</v>
      </c>
      <c r="B23" s="58">
        <f>SUM(B24:B29)</f>
        <v>0</v>
      </c>
      <c r="C23" s="79"/>
    </row>
    <row r="24" spans="1:3" ht="15.75" customHeight="1">
      <c r="A24" s="71" t="s">
        <v>425</v>
      </c>
      <c r="B24" s="52"/>
      <c r="C24" s="53"/>
    </row>
    <row r="25" spans="1:3" ht="15.75" customHeight="1">
      <c r="A25" s="71" t="s">
        <v>426</v>
      </c>
      <c r="B25" s="52"/>
      <c r="C25" s="53"/>
    </row>
    <row r="26" spans="1:3" ht="15.75" customHeight="1">
      <c r="A26" s="71" t="s">
        <v>393</v>
      </c>
      <c r="B26" s="52"/>
      <c r="C26" s="53"/>
    </row>
    <row r="27" spans="1:3" ht="15.75" customHeight="1">
      <c r="A27" s="73"/>
      <c r="B27" s="52"/>
      <c r="C27" s="53"/>
    </row>
    <row r="28" spans="1:3" ht="15.75" customHeight="1">
      <c r="A28" s="57"/>
      <c r="B28" s="52"/>
      <c r="C28" s="53"/>
    </row>
    <row r="29" spans="1:3" ht="15.75" customHeight="1">
      <c r="A29" s="73"/>
      <c r="B29" s="52"/>
      <c r="C29" s="53"/>
    </row>
    <row r="30" spans="1:3" ht="15.75" customHeight="1">
      <c r="A30" s="54" t="s">
        <v>427</v>
      </c>
      <c r="B30" s="58">
        <f>SUM(B31:B36)</f>
        <v>25000</v>
      </c>
      <c r="C30" s="79"/>
    </row>
    <row r="31" spans="1:3" ht="15.75" customHeight="1">
      <c r="A31" s="71" t="s">
        <v>428</v>
      </c>
      <c r="B31" s="52">
        <v>25000</v>
      </c>
      <c r="C31" s="53"/>
    </row>
    <row r="32" spans="1:3" ht="15.75" customHeight="1">
      <c r="A32" s="71" t="s">
        <v>429</v>
      </c>
      <c r="B32" s="52"/>
      <c r="C32" s="53"/>
    </row>
    <row r="33" spans="1:3" ht="15.75" customHeight="1">
      <c r="A33" s="71" t="s">
        <v>430</v>
      </c>
      <c r="B33" s="52"/>
      <c r="C33" s="53"/>
    </row>
    <row r="34" spans="1:3" ht="15.75" customHeight="1">
      <c r="A34" s="73"/>
      <c r="B34" s="52"/>
      <c r="C34" s="53"/>
    </row>
    <row r="35" spans="1:3" ht="15.75" customHeight="1">
      <c r="A35" s="73"/>
      <c r="B35" s="52"/>
      <c r="C35" s="53"/>
    </row>
    <row r="36" spans="1:3" ht="15.75" customHeight="1">
      <c r="A36" s="73"/>
      <c r="B36" s="52"/>
      <c r="C36" s="53"/>
    </row>
    <row r="37" spans="1:3" ht="15.75" customHeight="1">
      <c r="A37" s="89" t="s">
        <v>431</v>
      </c>
      <c r="B37" s="90">
        <f>SUM(B5,B23,B30)</f>
        <v>175000</v>
      </c>
      <c r="C37" s="79"/>
    </row>
    <row r="39" spans="1:3" ht="15.75" customHeight="1">
      <c r="A39" s="64" t="s">
        <v>432</v>
      </c>
      <c r="B39" s="3" t="s">
        <v>226</v>
      </c>
      <c r="C39" s="3" t="s">
        <v>276</v>
      </c>
    </row>
    <row r="40" spans="1:3" ht="15.75" customHeight="1">
      <c r="A40" s="89" t="s">
        <v>403</v>
      </c>
      <c r="B40" s="58">
        <f>DEBT!$D37</f>
        <v>0</v>
      </c>
      <c r="C40" s="91"/>
    </row>
    <row r="42" spans="1:3" ht="15.75" customHeight="1">
      <c r="A42" s="115" t="s">
        <v>433</v>
      </c>
      <c r="B42" s="3" t="s">
        <v>226</v>
      </c>
      <c r="C42" s="3" t="s">
        <v>276</v>
      </c>
    </row>
    <row r="43" spans="1:3" ht="15.75" customHeight="1">
      <c r="A43" s="115"/>
      <c r="B43" s="58">
        <f>B37-B40</f>
        <v>175000</v>
      </c>
      <c r="C43" s="91"/>
    </row>
  </sheetData>
  <mergeCells count="4">
    <mergeCell ref="A1:C1"/>
    <mergeCell ref="A2:A3"/>
    <mergeCell ref="C2:C3"/>
    <mergeCell ref="A42:A4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"/>
  <sheetViews>
    <sheetView zoomScale="80" zoomScaleNormal="80" workbookViewId="0">
      <selection activeCell="C11" sqref="C11"/>
    </sheetView>
  </sheetViews>
  <sheetFormatPr baseColWidth="10" defaultColWidth="10.6640625" defaultRowHeight="16"/>
  <cols>
    <col min="1" max="2" width="43.5" customWidth="1"/>
    <col min="3" max="4" width="90" customWidth="1"/>
  </cols>
  <sheetData>
    <row r="1" spans="1:4" ht="24" customHeight="1">
      <c r="A1" s="121" t="s">
        <v>434</v>
      </c>
      <c r="B1" s="121"/>
      <c r="C1" s="121"/>
      <c r="D1" s="92"/>
    </row>
    <row r="2" spans="1:4" ht="15.75" customHeight="1">
      <c r="A2" s="107" t="s">
        <v>221</v>
      </c>
      <c r="B2" s="3" t="s">
        <v>222</v>
      </c>
      <c r="C2" s="3" t="s">
        <v>227</v>
      </c>
      <c r="D2" s="3" t="s">
        <v>228</v>
      </c>
    </row>
    <row r="3" spans="1:4" ht="20.25" customHeight="1">
      <c r="A3" s="107"/>
      <c r="B3" s="81">
        <f>INCOME!B3</f>
        <v>0</v>
      </c>
      <c r="C3" s="93">
        <f>INCOME!C3</f>
        <v>0</v>
      </c>
      <c r="D3" s="93">
        <f>INCOME!D3</f>
        <v>0</v>
      </c>
    </row>
    <row r="4" spans="1:4" ht="15.75" customHeight="1">
      <c r="A4" s="3" t="s">
        <v>435</v>
      </c>
      <c r="B4" s="3"/>
      <c r="C4" s="3"/>
      <c r="D4" s="94"/>
    </row>
    <row r="5" spans="1:4" ht="15.75" customHeight="1">
      <c r="A5" s="1" t="s">
        <v>175</v>
      </c>
      <c r="B5" s="82">
        <f>INCOME!B97</f>
        <v>8810.32</v>
      </c>
      <c r="C5" s="82">
        <f>INCOME!C97</f>
        <v>9803.15</v>
      </c>
      <c r="D5" s="59">
        <f>INCOME!D97</f>
        <v>3333</v>
      </c>
    </row>
    <row r="6" spans="1:4" ht="15.75" customHeight="1">
      <c r="A6" s="1" t="s">
        <v>436</v>
      </c>
      <c r="B6" s="82">
        <f>INCOME!B99</f>
        <v>7720.37</v>
      </c>
      <c r="C6" s="82">
        <f>INCOME!C99</f>
        <v>6794.3899999999994</v>
      </c>
      <c r="D6" s="59">
        <f>INCOME!D99</f>
        <v>3333</v>
      </c>
    </row>
    <row r="7" spans="1:4" ht="15.75" customHeight="1">
      <c r="A7" s="1" t="s">
        <v>179</v>
      </c>
      <c r="B7" s="82">
        <f>EXPENSES!B126</f>
        <v>2393.8199999999997</v>
      </c>
      <c r="C7" s="82">
        <f>EXPENSES!C126</f>
        <v>5053.82</v>
      </c>
      <c r="D7" s="59">
        <f>EXPENSES!D126</f>
        <v>4152</v>
      </c>
    </row>
    <row r="8" spans="1:4" ht="15.75" customHeight="1">
      <c r="A8" s="1" t="s">
        <v>437</v>
      </c>
      <c r="B8" s="82">
        <f>DEBT!D35</f>
        <v>0</v>
      </c>
      <c r="C8" s="82">
        <f>DEBT!E35</f>
        <v>0</v>
      </c>
      <c r="D8" s="59">
        <f>DEBT!E35</f>
        <v>0</v>
      </c>
    </row>
    <row r="9" spans="1:4" ht="15.75" customHeight="1">
      <c r="A9" s="54" t="s">
        <v>438</v>
      </c>
      <c r="B9" s="55">
        <f>B6-B7-B8</f>
        <v>5326.55</v>
      </c>
      <c r="C9" s="55">
        <f>C6-C7-C8</f>
        <v>1740.5699999999997</v>
      </c>
      <c r="D9" s="95">
        <f>D6-D7-D8</f>
        <v>-819</v>
      </c>
    </row>
    <row r="10" spans="1:4" ht="15.75" customHeight="1">
      <c r="A10" s="54" t="s">
        <v>402</v>
      </c>
      <c r="B10" s="83">
        <f>DEBT!D36</f>
        <v>0</v>
      </c>
      <c r="C10" s="83">
        <f>DEBT!E36</f>
        <v>0</v>
      </c>
      <c r="D10" s="96">
        <f>DEBT!E36</f>
        <v>0</v>
      </c>
    </row>
    <row r="17" spans="1:4" ht="24" customHeight="1">
      <c r="A17" s="106" t="s">
        <v>439</v>
      </c>
      <c r="B17" s="106"/>
    </row>
    <row r="18" spans="1:4" ht="15.75" customHeight="1">
      <c r="A18" s="115" t="s">
        <v>440</v>
      </c>
      <c r="B18" s="115"/>
    </row>
    <row r="19" spans="1:4" ht="127.5" customHeight="1">
      <c r="A19" s="120"/>
      <c r="B19" s="120"/>
    </row>
    <row r="20" spans="1:4" ht="15.75" customHeight="1">
      <c r="A20" s="115" t="s">
        <v>441</v>
      </c>
      <c r="B20" s="115"/>
    </row>
    <row r="21" spans="1:4" ht="127.5" customHeight="1">
      <c r="A21" s="120"/>
      <c r="B21" s="120"/>
    </row>
    <row r="22" spans="1:4" ht="15.75" customHeight="1">
      <c r="A22" s="115" t="s">
        <v>442</v>
      </c>
      <c r="B22" s="115"/>
    </row>
    <row r="23" spans="1:4" ht="127.5" customHeight="1">
      <c r="A23" s="120"/>
      <c r="B23" s="120"/>
    </row>
    <row r="25" spans="1:4">
      <c r="A25" s="97" t="s">
        <v>443</v>
      </c>
    </row>
    <row r="26" spans="1:4">
      <c r="A26" s="19" t="s">
        <v>444</v>
      </c>
      <c r="B26" s="19" t="s">
        <v>445</v>
      </c>
      <c r="C26" s="19" t="s">
        <v>446</v>
      </c>
      <c r="D26" s="19" t="s">
        <v>174</v>
      </c>
    </row>
    <row r="27" spans="1:4">
      <c r="A27">
        <v>1</v>
      </c>
      <c r="B27" s="16" t="s">
        <v>447</v>
      </c>
      <c r="C27" s="16" t="s">
        <v>448</v>
      </c>
      <c r="D27" t="s">
        <v>449</v>
      </c>
    </row>
    <row r="28" spans="1:4">
      <c r="A28">
        <v>2</v>
      </c>
      <c r="B28" s="16" t="s">
        <v>447</v>
      </c>
      <c r="C28" s="16" t="s">
        <v>450</v>
      </c>
      <c r="D28" t="s">
        <v>449</v>
      </c>
    </row>
    <row r="29" spans="1:4">
      <c r="A29">
        <v>3</v>
      </c>
      <c r="B29" s="18" t="s">
        <v>451</v>
      </c>
      <c r="C29" s="18" t="s">
        <v>452</v>
      </c>
      <c r="D29" t="s">
        <v>453</v>
      </c>
    </row>
    <row r="30" spans="1:4">
      <c r="A30">
        <v>4</v>
      </c>
      <c r="B30" s="18" t="s">
        <v>451</v>
      </c>
      <c r="C30" s="18" t="s">
        <v>454</v>
      </c>
      <c r="D30" t="s">
        <v>455</v>
      </c>
    </row>
    <row r="31" spans="1:4">
      <c r="A31">
        <v>5</v>
      </c>
      <c r="B31" s="18" t="s">
        <v>451</v>
      </c>
      <c r="C31" s="18" t="s">
        <v>456</v>
      </c>
      <c r="D31" t="s">
        <v>453</v>
      </c>
    </row>
    <row r="32" spans="1:4">
      <c r="A32">
        <v>6</v>
      </c>
      <c r="B32" s="18" t="s">
        <v>451</v>
      </c>
      <c r="C32" s="18" t="s">
        <v>457</v>
      </c>
      <c r="D32" t="s">
        <v>453</v>
      </c>
    </row>
    <row r="33" spans="1:4">
      <c r="A33">
        <v>7</v>
      </c>
      <c r="B33" s="18" t="s">
        <v>451</v>
      </c>
      <c r="C33" s="18" t="s">
        <v>458</v>
      </c>
      <c r="D33" t="s">
        <v>459</v>
      </c>
    </row>
    <row r="34" spans="1:4">
      <c r="A34">
        <v>8</v>
      </c>
      <c r="B34" s="98" t="s">
        <v>460</v>
      </c>
      <c r="C34" s="98" t="s">
        <v>461</v>
      </c>
      <c r="D34" t="s">
        <v>453</v>
      </c>
    </row>
    <row r="35" spans="1:4">
      <c r="A35">
        <v>9</v>
      </c>
      <c r="B35" s="98" t="s">
        <v>460</v>
      </c>
      <c r="C35" s="98" t="s">
        <v>462</v>
      </c>
      <c r="D35" t="s">
        <v>453</v>
      </c>
    </row>
    <row r="36" spans="1:4">
      <c r="A36">
        <v>10</v>
      </c>
      <c r="B36" t="s">
        <v>463</v>
      </c>
      <c r="C36" t="s">
        <v>464</v>
      </c>
      <c r="D36" t="s">
        <v>449</v>
      </c>
    </row>
    <row r="37" spans="1:4">
      <c r="A37">
        <v>11</v>
      </c>
      <c r="B37" t="s">
        <v>463</v>
      </c>
      <c r="C37" t="s">
        <v>465</v>
      </c>
      <c r="D37" t="s">
        <v>466</v>
      </c>
    </row>
    <row r="38" spans="1:4">
      <c r="A38">
        <v>12</v>
      </c>
      <c r="B38" s="99" t="s">
        <v>467</v>
      </c>
      <c r="C38" s="17" t="s">
        <v>468</v>
      </c>
      <c r="D38" t="s">
        <v>469</v>
      </c>
    </row>
  </sheetData>
  <mergeCells count="9">
    <mergeCell ref="A20:B20"/>
    <mergeCell ref="A21:B21"/>
    <mergeCell ref="A22:B22"/>
    <mergeCell ref="A23:B23"/>
    <mergeCell ref="A1:C1"/>
    <mergeCell ref="A2:A3"/>
    <mergeCell ref="A17:B17"/>
    <mergeCell ref="A18:B18"/>
    <mergeCell ref="A19:B1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PROJECTIONS</vt:lpstr>
      <vt:lpstr>CHARTS</vt:lpstr>
      <vt:lpstr>GOALS</vt:lpstr>
      <vt:lpstr>INCOME</vt:lpstr>
      <vt:lpstr>EXPENSES</vt:lpstr>
      <vt:lpstr>DEBT</vt:lpstr>
      <vt:lpstr>ASSETS</vt:lpstr>
      <vt:lpstr>SUMMARY AND 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</dc:creator>
  <dc:description/>
  <cp:lastModifiedBy>Justin Britt</cp:lastModifiedBy>
  <cp:revision>3</cp:revision>
  <dcterms:created xsi:type="dcterms:W3CDTF">2020-05-18T13:27:17Z</dcterms:created>
  <dcterms:modified xsi:type="dcterms:W3CDTF">2026-07-20T01:09:55Z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e07fcc-3295-428b-88ad-2394f5c2a736_ActionId">
    <vt:lpwstr>985a6488-c93e-4289-b8ee-5caa25ecc7f1</vt:lpwstr>
  </property>
  <property fmtid="{D5CDD505-2E9C-101B-9397-08002B2CF9AE}" pid="3" name="MSIP_Label_8be07fcc-3295-428b-88ad-2394f5c2a736_ContentBits">
    <vt:lpwstr>0</vt:lpwstr>
  </property>
  <property fmtid="{D5CDD505-2E9C-101B-9397-08002B2CF9AE}" pid="4" name="MSIP_Label_8be07fcc-3295-428b-88ad-2394f5c2a736_Enabled">
    <vt:lpwstr>true</vt:lpwstr>
  </property>
  <property fmtid="{D5CDD505-2E9C-101B-9397-08002B2CF9AE}" pid="5" name="MSIP_Label_8be07fcc-3295-428b-88ad-2394f5c2a736_Method">
    <vt:lpwstr>Standard</vt:lpwstr>
  </property>
  <property fmtid="{D5CDD505-2E9C-101B-9397-08002B2CF9AE}" pid="6" name="MSIP_Label_8be07fcc-3295-428b-88ad-2394f5c2a736_Name">
    <vt:lpwstr>Business Use</vt:lpwstr>
  </property>
  <property fmtid="{D5CDD505-2E9C-101B-9397-08002B2CF9AE}" pid="7" name="MSIP_Label_8be07fcc-3295-428b-88ad-2394f5c2a736_SetDate">
    <vt:lpwstr>2026-03-23T17:07:26Z</vt:lpwstr>
  </property>
  <property fmtid="{D5CDD505-2E9C-101B-9397-08002B2CF9AE}" pid="8" name="MSIP_Label_8be07fcc-3295-428b-88ad-2394f5c2a736_SiteId">
    <vt:lpwstr>a9df4fcb-7f39-49f4-9d70-1ee81b27a772</vt:lpwstr>
  </property>
  <property fmtid="{D5CDD505-2E9C-101B-9397-08002B2CF9AE}" pid="9" name="MSIP_Label_8be07fcc-3295-428b-88ad-2394f5c2a736_Tag">
    <vt:lpwstr>10, 3, 0, 1</vt:lpwstr>
  </property>
</Properties>
</file>